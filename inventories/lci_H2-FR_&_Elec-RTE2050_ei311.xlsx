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zertf\Git-projects\phd_dezert_fx_h2\Etude-ACV-H2-France\Article-1-H2productionFrance_2025-2035\Data_to_Publish\Github_to_be_published\inventories\"/>
    </mc:Choice>
  </mc:AlternateContent>
  <xr:revisionPtr revIDLastSave="0" documentId="13_ncr:1_{DAAC7C86-AE00-4C68-8B5A-E7ECA0F13852}" xr6:coauthVersionLast="47" xr6:coauthVersionMax="47" xr10:uidLastSave="{00000000-0000-0000-0000-000000000000}"/>
  <bookViews>
    <workbookView xWindow="-110" yWindow="-110" windowWidth="19420" windowHeight="11500" activeTab="9" xr2:uid="{9390246E-0CB1-2943-9619-6907BF9501C5}"/>
  </bookViews>
  <sheets>
    <sheet name="Wave" sheetId="1" r:id="rId1"/>
    <sheet name="pumped storage" sheetId="13" r:id="rId2"/>
    <sheet name="Stationary Storage" sheetId="5" r:id="rId3"/>
    <sheet name="H2_Production" sheetId="16" r:id="rId4"/>
    <sheet name="H2_coproduction" sheetId="15" r:id="rId5"/>
    <sheet name="Vanadium Storage" sheetId="9" r:id="rId6"/>
    <sheet name="EPR" sheetId="3" r:id="rId7"/>
    <sheet name="SMR" sheetId="2" r:id="rId8"/>
    <sheet name="vanadium" sheetId="11" r:id="rId9"/>
    <sheet name="Allocation titanium-vanadium"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7" i="16" l="1"/>
  <c r="G84" i="16" l="1"/>
  <c r="G83" i="16"/>
  <c r="G227" i="16"/>
  <c r="G226" i="16"/>
  <c r="A250" i="16"/>
  <c r="G250" i="16"/>
  <c r="B230" i="16"/>
  <c r="G348" i="16"/>
  <c r="E348" i="16"/>
  <c r="A348" i="16"/>
  <c r="G279" i="16"/>
  <c r="A279" i="16"/>
  <c r="B269" i="16"/>
  <c r="B268" i="16"/>
  <c r="G267" i="16"/>
  <c r="E267" i="16"/>
  <c r="A267" i="16"/>
  <c r="E250" i="16"/>
  <c r="B240" i="16"/>
  <c r="B239" i="16"/>
  <c r="B238" i="16"/>
  <c r="B227" i="16"/>
  <c r="B229" i="16" s="1"/>
  <c r="A227" i="16"/>
  <c r="B226" i="16"/>
  <c r="B228" i="16" s="1"/>
  <c r="A226" i="16"/>
  <c r="E225" i="16"/>
  <c r="B204" i="16"/>
  <c r="G203" i="16"/>
  <c r="E203" i="16"/>
  <c r="A203" i="16"/>
  <c r="G145" i="16"/>
  <c r="A145" i="16"/>
  <c r="B135" i="16"/>
  <c r="B134" i="16"/>
  <c r="B133" i="16"/>
  <c r="B132" i="16"/>
  <c r="B131" i="16"/>
  <c r="G130" i="16"/>
  <c r="E130" i="16"/>
  <c r="A130" i="16"/>
  <c r="B113" i="16"/>
  <c r="G106" i="16"/>
  <c r="E106" i="16"/>
  <c r="B96" i="16"/>
  <c r="B95" i="16"/>
  <c r="B94" i="16"/>
  <c r="B84" i="16"/>
  <c r="B86" i="16" s="1"/>
  <c r="A84" i="16"/>
  <c r="B83" i="16"/>
  <c r="B85" i="16" s="1"/>
  <c r="A83" i="16"/>
  <c r="E82" i="16"/>
  <c r="D82" i="16"/>
  <c r="B111" i="15" l="1"/>
  <c r="H705" i="16" l="1"/>
  <c r="E705" i="16"/>
  <c r="D705" i="16"/>
  <c r="A705" i="16"/>
  <c r="B698" i="16"/>
  <c r="B718" i="16" s="1"/>
  <c r="B72" i="16"/>
  <c r="A58" i="16"/>
  <c r="A44" i="16"/>
  <c r="B29" i="16"/>
  <c r="B30" i="16" s="1"/>
  <c r="B32" i="16" s="1"/>
  <c r="G28" i="16"/>
  <c r="D28" i="16"/>
  <c r="A28" i="16"/>
  <c r="B16" i="16"/>
  <c r="B14" i="16"/>
  <c r="B13" i="16"/>
  <c r="G11" i="16"/>
  <c r="D11" i="16"/>
  <c r="A11" i="16"/>
  <c r="B295" i="1"/>
  <c r="B2" i="12"/>
  <c r="D2" i="12" s="1"/>
  <c r="B3" i="12"/>
  <c r="D3" i="12" s="1"/>
  <c r="B4" i="12"/>
  <c r="D4" i="12" s="1"/>
  <c r="E4" i="12" s="1"/>
  <c r="G4" i="12" s="1"/>
  <c r="A10" i="11"/>
  <c r="B11" i="11"/>
  <c r="B12" i="11"/>
  <c r="B13" i="11"/>
  <c r="B14" i="11"/>
  <c r="B15" i="11"/>
  <c r="B16" i="11"/>
  <c r="B17" i="11"/>
  <c r="B18" i="11"/>
  <c r="B19" i="11"/>
  <c r="B20" i="11"/>
  <c r="B22" i="11"/>
  <c r="B23" i="11"/>
  <c r="B24" i="11"/>
  <c r="B25" i="11"/>
  <c r="B26" i="11"/>
  <c r="B27" i="11"/>
  <c r="B28" i="11"/>
  <c r="B29" i="11"/>
  <c r="B30" i="11"/>
  <c r="B31" i="11"/>
  <c r="B64" i="11"/>
  <c r="B65" i="11"/>
  <c r="B66" i="11"/>
  <c r="B67" i="11"/>
  <c r="B76" i="11"/>
  <c r="B77" i="11"/>
  <c r="B78" i="11"/>
  <c r="B79" i="11"/>
  <c r="B85" i="11"/>
  <c r="B86" i="11"/>
  <c r="B92" i="11"/>
  <c r="B93" i="11"/>
  <c r="B96" i="11"/>
  <c r="B97" i="11"/>
  <c r="B102" i="11"/>
  <c r="B103" i="11"/>
  <c r="B266" i="11"/>
  <c r="B714" i="16" l="1"/>
  <c r="B715" i="16"/>
  <c r="E3" i="12"/>
  <c r="E2" i="12"/>
  <c r="B5" i="12"/>
  <c r="B717" i="16" l="1"/>
  <c r="B716" i="16"/>
  <c r="G2" i="12"/>
  <c r="B442" i="9"/>
  <c r="B441" i="9"/>
  <c r="B440" i="9"/>
  <c r="B439" i="9"/>
  <c r="B438" i="9"/>
  <c r="B437" i="9"/>
  <c r="G435" i="9"/>
  <c r="D435" i="9"/>
  <c r="A435" i="9"/>
  <c r="G414" i="9"/>
  <c r="D414" i="9"/>
  <c r="A414" i="9"/>
  <c r="G395" i="9"/>
  <c r="D395" i="9"/>
  <c r="A395" i="9"/>
  <c r="G377" i="9"/>
  <c r="A377" i="9"/>
  <c r="G364" i="9"/>
  <c r="A364" i="9"/>
  <c r="G350" i="9"/>
  <c r="A350" i="9"/>
  <c r="G332" i="9"/>
  <c r="A332" i="9"/>
  <c r="G319" i="9"/>
  <c r="A319" i="9"/>
  <c r="G301" i="9"/>
  <c r="A301" i="9"/>
  <c r="G280" i="9"/>
  <c r="A280" i="9"/>
  <c r="B265" i="9"/>
  <c r="G262" i="9"/>
  <c r="A262" i="9"/>
  <c r="G245" i="9"/>
  <c r="A245" i="9"/>
  <c r="G221" i="9"/>
  <c r="A221" i="9"/>
  <c r="B208" i="9"/>
  <c r="G197" i="9"/>
  <c r="A197" i="9"/>
  <c r="G179" i="9"/>
  <c r="A179" i="9"/>
  <c r="G163" i="9"/>
  <c r="A163" i="9"/>
  <c r="G146" i="9"/>
  <c r="A146" i="9"/>
  <c r="G124" i="9"/>
  <c r="A124" i="9"/>
  <c r="G103" i="9"/>
  <c r="A103" i="9"/>
  <c r="G86" i="9"/>
  <c r="A86" i="9"/>
  <c r="G58" i="9"/>
  <c r="A58" i="9"/>
  <c r="B46" i="9"/>
  <c r="G39" i="9"/>
  <c r="A39" i="9"/>
  <c r="B11" i="5"/>
  <c r="B42" i="2"/>
  <c r="B38" i="2"/>
  <c r="B37" i="2"/>
  <c r="B297" i="1" l="1"/>
  <c r="B296" i="1"/>
  <c r="B294" i="1"/>
  <c r="B298" i="1"/>
  <c r="B293" i="1"/>
  <c r="B279" i="1"/>
  <c r="B300" i="1" s="1"/>
  <c r="B315" i="1"/>
  <c r="B301" i="1"/>
  <c r="B299" i="1"/>
  <c r="B31" i="1"/>
  <c r="B17" i="1"/>
</calcChain>
</file>

<file path=xl/sharedStrings.xml><?xml version="1.0" encoding="utf-8"?>
<sst xmlns="http://schemas.openxmlformats.org/spreadsheetml/2006/main" count="16931" uniqueCount="1414">
  <si>
    <t>Activity</t>
  </si>
  <si>
    <t>location</t>
  </si>
  <si>
    <t>production amount</t>
  </si>
  <si>
    <t>reference product</t>
  </si>
  <si>
    <t>electricity, low voltage</t>
  </si>
  <si>
    <t>type</t>
  </si>
  <si>
    <t>process</t>
  </si>
  <si>
    <t>unit</t>
  </si>
  <si>
    <t>kilowatt hour</t>
  </si>
  <si>
    <t>worksheet name</t>
  </si>
  <si>
    <t>None</t>
  </si>
  <si>
    <t>source</t>
  </si>
  <si>
    <t/>
  </si>
  <si>
    <t>comment</t>
  </si>
  <si>
    <t>Exchanges</t>
  </si>
  <si>
    <t>name</t>
  </si>
  <si>
    <t>amount</t>
  </si>
  <si>
    <t>database</t>
  </si>
  <si>
    <t>categories</t>
  </si>
  <si>
    <t>crane operation, 60 tons</t>
  </si>
  <si>
    <t>RER</t>
  </si>
  <si>
    <t>hour</t>
  </si>
  <si>
    <t>crane operation</t>
  </si>
  <si>
    <t>Operation of a 60-ton crane. Thomson, R.C., Chick, J.P. &amp; Harrison, G.P. An LCA of the Pelamis wave energy converter. Int J Life Cycle Assess 24, 51–63 (2019). https://doi.org/10.1007/s11367-018-1504-2</t>
  </si>
  <si>
    <t>production</t>
  </si>
  <si>
    <t>market group for electricity, low voltage</t>
  </si>
  <si>
    <t>technosphere</t>
  </si>
  <si>
    <t>building machine production</t>
  </si>
  <si>
    <t>building machine</t>
  </si>
  <si>
    <t>forklift operation</t>
  </si>
  <si>
    <t>Operation of a diesel forklift. Thomson, R.C., Chick, J.P. &amp; Harrison, G.P. An LCA of the Pelamis wave energy converter. Int J Life Cycle Assess 24, 51–63 (2019). https://doi.org/10.1007/s11367-018-1504-2</t>
  </si>
  <si>
    <t>market for diesel, burned in building machine</t>
  </si>
  <si>
    <t>diesel, burned in building machine</t>
  </si>
  <si>
    <t>megajoule</t>
  </si>
  <si>
    <t>GLO</t>
  </si>
  <si>
    <t>ton kilometer</t>
  </si>
  <si>
    <t>transformer, 315kVA, 11kV2</t>
  </si>
  <si>
    <t>transformer production, 315kVA, 11kV2</t>
  </si>
  <si>
    <t>kilogram</t>
  </si>
  <si>
    <t>market for steel, low-alloyed</t>
  </si>
  <si>
    <t>steel, low-alloyed</t>
  </si>
  <si>
    <t>market for aluminium, primary, ingot</t>
  </si>
  <si>
    <t>IAI Area, EU27 &amp; EFTA</t>
  </si>
  <si>
    <t>aluminium, primary, ingot</t>
  </si>
  <si>
    <t>market for aluminium, wrought alloy</t>
  </si>
  <si>
    <t>aluminium, wrought alloy</t>
  </si>
  <si>
    <t>market for sanitary ceramics</t>
  </si>
  <si>
    <t>sanitary ceramics</t>
  </si>
  <si>
    <t>SF6 MV circuit breaker</t>
  </si>
  <si>
    <t>SF6 MV circuit breaker production</t>
  </si>
  <si>
    <t>brass</t>
  </si>
  <si>
    <t>RoW</t>
  </si>
  <si>
    <t>market for brass</t>
  </si>
  <si>
    <t>market for sulfur hexafluoride, liquid</t>
  </si>
  <si>
    <t>sulfur hexafluoride, liquid</t>
  </si>
  <si>
    <t>market for epoxy resin, liquid</t>
  </si>
  <si>
    <t>epoxy resin, liquid</t>
  </si>
  <si>
    <t>market for tetrafluoroethylene</t>
  </si>
  <si>
    <t>tetrafluoroethylene</t>
  </si>
  <si>
    <t>market for bronze</t>
  </si>
  <si>
    <t>bronze</t>
  </si>
  <si>
    <t>market for polycarbonate</t>
  </si>
  <si>
    <t>polycarbonate</t>
  </si>
  <si>
    <t>market for nylon 6-6</t>
  </si>
  <si>
    <t>nylon 6-6</t>
  </si>
  <si>
    <t>market for nylon 6</t>
  </si>
  <si>
    <t>nylon 6</t>
  </si>
  <si>
    <t>market for copper, cathode</t>
  </si>
  <si>
    <t>copper, cathode</t>
  </si>
  <si>
    <t>market for aluminium oxide, metallurgical</t>
  </si>
  <si>
    <t>aluminium oxide, metallurgical</t>
  </si>
  <si>
    <t>market for steel, chromium steel 18/8, hot rolled</t>
  </si>
  <si>
    <t>steel, chromium steel 18/8, hot rolled</t>
  </si>
  <si>
    <t>MV switch-disconnector cubicle</t>
  </si>
  <si>
    <t>MV switch-disconnector cubicle production</t>
  </si>
  <si>
    <t>Production of the ABB transformer. Thomson, R.C., Chick, J.P. &amp; Harrison, G.P. An LCA of the Pelamis wave energy converter. Int J Life Cycle Assess 24, 51–63 (2019). https://doi.org/10.1007/s11367-018-1504-2</t>
  </si>
  <si>
    <t>Production of a circuit breaker. Thomson, R.C., Chick, J.P. &amp; Harrison, G.P. An LCA of the Pelamis wave energy converter. Int J Life Cycle Assess 24, 51–63 (2019). https://doi.org/10.1007/s11367-018-1504-2</t>
  </si>
  <si>
    <t>Production of switch-disconnector cubicle. Thomson, R.C., Chick, J.P. &amp; Harrison, G.P. An LCA of the Pelamis wave energy converter. Int J Life Cycle Assess 24, 51–63 (2019). https://doi.org/10.1007/s11367-018-1504-2</t>
  </si>
  <si>
    <t>market for synthetic rubber</t>
  </si>
  <si>
    <t>synthetic rubber</t>
  </si>
  <si>
    <t>market for polypropylene, granulate</t>
  </si>
  <si>
    <t>polypropylene, granulate</t>
  </si>
  <si>
    <t>market for polyester resin, unsaturated</t>
  </si>
  <si>
    <t>polyester resin, unsaturated</t>
  </si>
  <si>
    <t>market for flat glass, uncoated</t>
  </si>
  <si>
    <t>flat glass, uncoated</t>
  </si>
  <si>
    <t>market for zinc</t>
  </si>
  <si>
    <t>zinc</t>
  </si>
  <si>
    <t>market for alkyd paint, white, without water, in 60% solution state</t>
  </si>
  <si>
    <t>alkyd paint, white, without water, in 60% solution state</t>
  </si>
  <si>
    <t>MV Switchgear and TSG Control Panel production</t>
  </si>
  <si>
    <t>MV Switchgear and TSG Control Panel</t>
  </si>
  <si>
    <t>Production of control panel. Thomson, R.C., Chick, J.P. &amp; Harrison, G.P. An LCA of the Pelamis wave energy converter. Int J Life Cycle Assess 24, 51–63 (2019). https://doi.org/10.1007/s11367-018-1504-2</t>
  </si>
  <si>
    <t>Base 35858 chemical production</t>
  </si>
  <si>
    <t>Base 35858 chemical</t>
  </si>
  <si>
    <t>naphtha</t>
  </si>
  <si>
    <t>market for ethyl benzene</t>
  </si>
  <si>
    <t>ethyl benzene</t>
  </si>
  <si>
    <t>market for dimethenamide</t>
  </si>
  <si>
    <t>dimethenamide</t>
  </si>
  <si>
    <t>Curing Agent 97652 production</t>
  </si>
  <si>
    <t>Curing Agent 97652</t>
  </si>
  <si>
    <t>market for phenol</t>
  </si>
  <si>
    <t>phenol</t>
  </si>
  <si>
    <t>market for ethanol, without water, in 99.7% solution state, from ethylene</t>
  </si>
  <si>
    <t>ethanol, without water, in 99.7% solution state, from ethylene</t>
  </si>
  <si>
    <t>market for o-aminophenol</t>
  </si>
  <si>
    <t>o-aminophenol</t>
  </si>
  <si>
    <t>Production of curing agent. Thomson, R.C., Chick, J.P. &amp; Harrison, G.P. An LCA of the Pelamis wave energy converter. Int J Life Cycle Assess 24, 51–63 (2019). https://doi.org/10.1007/s11367-018-1504-2</t>
  </si>
  <si>
    <t>epoxy paint primer/topcoat production</t>
  </si>
  <si>
    <t>epoxy paint primer/topcoat</t>
  </si>
  <si>
    <t>glass flake paint 35851 production</t>
  </si>
  <si>
    <t>glass flake paint 35851</t>
  </si>
  <si>
    <t>glass flake paint 35851 painting</t>
  </si>
  <si>
    <t>square meter</t>
  </si>
  <si>
    <t>Painting. Thomson, R.C., Chick, J.P. &amp; Harrison, G.P. An LCA of the Pelamis wave energy converter. Int J Life Cycle Assess 24, 51–63 (2019). https://doi.org/10.1007/s11367-018-1504-2</t>
  </si>
  <si>
    <t>Production of paint. Thomson, R.C., Chick, J.P. &amp; Harrison, G.P. An LCA of the Pelamis wave energy converter. Int J Life Cycle Assess 24, 51–63 (2019). https://doi.org/10.1007/s11367-018-1504-2</t>
  </si>
  <si>
    <t>compressed air production, 700 kPa gauge, &gt;30kW, average generation</t>
  </si>
  <si>
    <t>compressed air, 700 kPa gauge</t>
  </si>
  <si>
    <t>cubic meter</t>
  </si>
  <si>
    <t>sand blasting</t>
  </si>
  <si>
    <t>market for silica sand</t>
  </si>
  <si>
    <t>silica sand</t>
  </si>
  <si>
    <t>compressed air production, 800 kPa gauge, &gt;30kW, average generation</t>
  </si>
  <si>
    <t>compressed air, 800 kPa gauge</t>
  </si>
  <si>
    <t>Particulates, &gt; 2.5 um, and &lt; 10um</t>
  </si>
  <si>
    <t>biosphere</t>
  </si>
  <si>
    <t>air</t>
  </si>
  <si>
    <t>Sand blasting. Thomson, R.C., Chick, J.P. &amp; Harrison, G.P. An LCA of the Pelamis wave energy converter. Int J Life Cycle Assess 24, 51–63 (2019). https://doi.org/10.1007/s11367-018-1504-2</t>
  </si>
  <si>
    <t>flame cutting</t>
  </si>
  <si>
    <t>welding, gas, steel</t>
  </si>
  <si>
    <t>meter</t>
  </si>
  <si>
    <t>pre-fabricated components for WEC</t>
  </si>
  <si>
    <t>pre-fabricated components supply for WEC</t>
  </si>
  <si>
    <t>wave energy converter platform production</t>
  </si>
  <si>
    <t>wave energy converter platform</t>
  </si>
  <si>
    <t>WEC platform production. Annual energy production: 2.97 GWh. Lifetime: 20 years. Thomson, R.C., Chick, J.P. &amp; Harrison, G.P. An LCA of the Pelamis wave energy converter. Int J Life Cycle Assess 24, 51–63 (2019). https://doi.org/10.1007/s11367-018-1504-2</t>
  </si>
  <si>
    <t>market for sand</t>
  </si>
  <si>
    <t>sand</t>
  </si>
  <si>
    <t>market for steel, chromium steel 18/8</t>
  </si>
  <si>
    <t>steel, chromium steel 18/8</t>
  </si>
  <si>
    <t>market for polyurethane, rigid foam</t>
  </si>
  <si>
    <t>polyurethane, rigid foam</t>
  </si>
  <si>
    <t>market for glass fibre reinforced plastic, polyamide, injection moulded</t>
  </si>
  <si>
    <t>glass fibre reinforced plastic, polyamide, injection moulded</t>
  </si>
  <si>
    <t>market for drawing of pipe, steel</t>
  </si>
  <si>
    <t>drawing of pipe, steel</t>
  </si>
  <si>
    <t>market for wire drawing, steel</t>
  </si>
  <si>
    <t>market for extrusion, plastic pipes</t>
  </si>
  <si>
    <t>extrusion, plastic pipes</t>
  </si>
  <si>
    <t>wire drawing, steel</t>
  </si>
  <si>
    <t>market for steel removed by milling, average</t>
  </si>
  <si>
    <t>steel removed by milling, average</t>
  </si>
  <si>
    <t>market for waste polyurethane</t>
  </si>
  <si>
    <t>waste polyurethane</t>
  </si>
  <si>
    <t>CH</t>
  </si>
  <si>
    <t>market for waste polyvinylchloride</t>
  </si>
  <si>
    <t>waste polyvinylchloride</t>
  </si>
  <si>
    <t>electricity production, wave energy converter</t>
  </si>
  <si>
    <t>electricity, high voltage</t>
  </si>
  <si>
    <t>market for fatty acid methyl ester</t>
  </si>
  <si>
    <t>fatty acid methyl ester</t>
  </si>
  <si>
    <t>market for steel, low-alloyed, hot rolled</t>
  </si>
  <si>
    <t>steel, low-alloyed, hot rolled</t>
  </si>
  <si>
    <t>market for kraft paper</t>
  </si>
  <si>
    <t>kraft paper</t>
  </si>
  <si>
    <t>market for naphtha</t>
  </si>
  <si>
    <t>market for generator, 200kW electrical</t>
  </si>
  <si>
    <t>generator, 200kW electrical</t>
  </si>
  <si>
    <t>Europe without Switzerland</t>
  </si>
  <si>
    <t>cutoff</t>
  </si>
  <si>
    <t>ecoinvent</t>
  </si>
  <si>
    <t>biosphere3</t>
  </si>
  <si>
    <t>market for water, deionised</t>
  </si>
  <si>
    <t>water, deionised</t>
  </si>
  <si>
    <t>Oxygen</t>
  </si>
  <si>
    <t>market for sulfuric acid</t>
  </si>
  <si>
    <t>sulfuric acid</t>
  </si>
  <si>
    <t>market for platinum</t>
  </si>
  <si>
    <t>platinum</t>
  </si>
  <si>
    <t>natural resource::in ground</t>
  </si>
  <si>
    <t>market for electronics, for control units</t>
  </si>
  <si>
    <t>electronics, for control units</t>
  </si>
  <si>
    <t>market for chemical, organic</t>
  </si>
  <si>
    <t>chemical, organic</t>
  </si>
  <si>
    <t>natural resource::land</t>
  </si>
  <si>
    <t>Transformation, to industrial area</t>
  </si>
  <si>
    <t>Occupation, industrial area</t>
  </si>
  <si>
    <t>square meter-year</t>
  </si>
  <si>
    <t>reinforcing steel</t>
  </si>
  <si>
    <t>sheet rolling, aluminium</t>
  </si>
  <si>
    <t>sheet rolling, steel</t>
  </si>
  <si>
    <t>tube insulation, elastomere</t>
  </si>
  <si>
    <t>wire drawing, copper</t>
  </si>
  <si>
    <t>FR</t>
  </si>
  <si>
    <t>market for electricity, low voltage</t>
  </si>
  <si>
    <t>market for titanium</t>
  </si>
  <si>
    <t>titanium</t>
  </si>
  <si>
    <t>electricity production, stationary storage, RTE2050</t>
  </si>
  <si>
    <t>80% efficiency</t>
  </si>
  <si>
    <t>market for electricity, high voltage</t>
  </si>
  <si>
    <t>electricity production, Evolutionary Power Reactor (EPR)</t>
  </si>
  <si>
    <t>1500 MWe, 33.8% electric efficiency. Lifetime of 60 years. Uranium sources: 50% Mng50 % ISL. Uranium enrichment: 4.8%. Fuel burn-up: 60 MWd/kgHM. Simons A, Bauer C. Life cycle assessment of the Evolutionary Power Reactor (EPR) and the influence of different fuel cycle strategies. Proceedings of the Institution of Mechanical Engineers, Part A: Journal of Power and Energy. 2012;226(3):427-444. doi:10.1177/0957650912440549</t>
  </si>
  <si>
    <t>uncertainty type</t>
  </si>
  <si>
    <t>loc</t>
  </si>
  <si>
    <t>scale</t>
  </si>
  <si>
    <t>allocation</t>
  </si>
  <si>
    <t>negative</t>
  </si>
  <si>
    <t>product</t>
  </si>
  <si>
    <t>simapro name</t>
  </si>
  <si>
    <t>Aerosols, radioactive, unspecified</t>
  </si>
  <si>
    <t>kilo Becquerel</t>
  </si>
  <si>
    <t>air::non-urban air or from high stacks</t>
  </si>
  <si>
    <t>uncertainty declared in reports for radioactive releases</t>
  </si>
  <si>
    <t>Heat, waste</t>
  </si>
  <si>
    <t>uncertainty on efficiency</t>
  </si>
  <si>
    <t>Hydrogen-3, Tritium</t>
  </si>
  <si>
    <t>water::surface water</t>
  </si>
  <si>
    <t>Iodine-131</t>
  </si>
  <si>
    <t>Noble gases, radioactive, unspecified</t>
  </si>
  <si>
    <t>Radioactive species, Nuclides, unspecified</t>
  </si>
  <si>
    <t>Water, river</t>
  </si>
  <si>
    <t>natural resource::in water</t>
  </si>
  <si>
    <t>own estimation</t>
  </si>
  <si>
    <t>Axpo NH 5b::year technologies</t>
  </si>
  <si>
    <t>copy of original DS</t>
  </si>
  <si>
    <t>EPR construction</t>
  </si>
  <si>
    <t>Materials/fuels</t>
  </si>
  <si>
    <t>estimation of total net electricity over a lifetime</t>
  </si>
  <si>
    <t>EPR decommissioning</t>
  </si>
  <si>
    <t xml:space="preserve">U enriched 4.8%, in fuel element for LWR, at nuclear fuel fabrication plant </t>
  </si>
  <si>
    <t>estimated variation over lifetime</t>
  </si>
  <si>
    <t>boric acid production, anhydrous, powder</t>
  </si>
  <si>
    <t>own estimation on data from utility</t>
  </si>
  <si>
    <t>boric acid, anhydrous, powder</t>
  </si>
  <si>
    <t>Boric acid, anhydrous, powder, at plant U</t>
  </si>
  <si>
    <t>market for acetylene</t>
  </si>
  <si>
    <t>acetylene</t>
  </si>
  <si>
    <t>Acetylene, at regional storehouse U</t>
  </si>
  <si>
    <t>market for anionic resin</t>
  </si>
  <si>
    <t>anionic resin</t>
  </si>
  <si>
    <t>Anionic resin, at plant U</t>
  </si>
  <si>
    <t>market for argon, liquid</t>
  </si>
  <si>
    <t>extrapolation from another plant type</t>
  </si>
  <si>
    <t>argon, liquid</t>
  </si>
  <si>
    <t>Argon, liquid, at plant U</t>
  </si>
  <si>
    <t>market for bilge oil</t>
  </si>
  <si>
    <t>Waste to treatment</t>
  </si>
  <si>
    <t>bilge oil</t>
  </si>
  <si>
    <t>Disposal, used mineral oil, 10% water, to hazardous waste incineration U</t>
  </si>
  <si>
    <t>market for carbon dioxide, liquid</t>
  </si>
  <si>
    <t>carbon dioxide, liquid</t>
  </si>
  <si>
    <t>Carbon dioxide liquid, at plant U</t>
  </si>
  <si>
    <t>market for cast iron</t>
  </si>
  <si>
    <t>cast iron</t>
  </si>
  <si>
    <t>Cast iron, at plant U</t>
  </si>
  <si>
    <t>market for cationic resin</t>
  </si>
  <si>
    <t>cationic resin</t>
  </si>
  <si>
    <t>Cationic resin, at plant U</t>
  </si>
  <si>
    <t>market for cement, Portland</t>
  </si>
  <si>
    <t>cement, Portland</t>
  </si>
  <si>
    <t>Cement, unspecified, at plant U</t>
  </si>
  <si>
    <t>market for chemical, inorganic</t>
  </si>
  <si>
    <t>chemical, inorganic</t>
  </si>
  <si>
    <t>Chemicals inorganic, at plant/GLO U</t>
  </si>
  <si>
    <t>Chemicals organic, at plant/GLO U</t>
  </si>
  <si>
    <t>Concrete, normal, at plant U</t>
  </si>
  <si>
    <t>market for diesel, burned in diesel-electric generating set, 10MW</t>
  </si>
  <si>
    <t>diesel, burned in diesel-electric generating set, 10MW</t>
  </si>
  <si>
    <t>Diesel, burned in diesel-electric generating set/GLO U</t>
  </si>
  <si>
    <t>market for flat glass, coated</t>
  </si>
  <si>
    <t>flat glass, coated</t>
  </si>
  <si>
    <t>Flat glass, coated, at plant U</t>
  </si>
  <si>
    <t>hydrogen, liquid</t>
  </si>
  <si>
    <t>Hydrogen, liquid, at plant U</t>
  </si>
  <si>
    <t>market for lubricating oil</t>
  </si>
  <si>
    <t>lubricating oil</t>
  </si>
  <si>
    <t>Lubricating oil, at plant U</t>
  </si>
  <si>
    <t>market for mastic asphalt</t>
  </si>
  <si>
    <t>mastic asphalt</t>
  </si>
  <si>
    <t>Bitumen, at refinery U</t>
  </si>
  <si>
    <t>market for nitrogen, liquid</t>
  </si>
  <si>
    <t>nitrogen, liquid</t>
  </si>
  <si>
    <t>Nitrogen, liquid, at plant U</t>
  </si>
  <si>
    <t>market for nuclear waste storage, interim, for low level radioactive waste before final repository</t>
  </si>
  <si>
    <t>nuclear waste storage, interim, for low level radioactive waste before final repository</t>
  </si>
  <si>
    <t>Radioactive waste, in interim storage, for final repository LLW U</t>
  </si>
  <si>
    <t>market for oxygen, liquid</t>
  </si>
  <si>
    <t>oxygen, liquid</t>
  </si>
  <si>
    <t>Oxygen, liquid, at plant U</t>
  </si>
  <si>
    <t>market for paper, woodfree, coated</t>
  </si>
  <si>
    <t>paper, woodfree, coated</t>
  </si>
  <si>
    <t>Paper, woodfree, coated, at integrated mill U</t>
  </si>
  <si>
    <t>market for reinforcing steel</t>
  </si>
  <si>
    <t>Reinforcing steel, at plant U</t>
  </si>
  <si>
    <t>market for sodium hypochlorite, without water, in 15% solution state</t>
  </si>
  <si>
    <t>sodium hypochlorite, without water, in 15% solution state</t>
  </si>
  <si>
    <t>Sodium hypochlorite, 15% in H2O, at plant U</t>
  </si>
  <si>
    <t>own assumption</t>
  </si>
  <si>
    <t>Steel, low-alloyed, at plant U</t>
  </si>
  <si>
    <t>market for transport, freight, lorry, unspecified</t>
  </si>
  <si>
    <t>standard</t>
  </si>
  <si>
    <t>transport, freight, lorry, unspecified</t>
  </si>
  <si>
    <t>Transport, van &lt;3.5t U</t>
  </si>
  <si>
    <t>market for water, decarbonised</t>
  </si>
  <si>
    <t>water, decarbonised</t>
  </si>
  <si>
    <t>Water, decarbonised, at plant U</t>
  </si>
  <si>
    <t>treatment of hazardous waste, hazardous waste incineration, with energy recovery</t>
  </si>
  <si>
    <t>hazardous waste, for incineration</t>
  </si>
  <si>
    <t>Disposal, hazardous waste, 25% water, to hazardous waste incineration U</t>
  </si>
  <si>
    <t>treatment of low level radioactive waste for final repository</t>
  </si>
  <si>
    <t>low level radioactive waste for final repository</t>
  </si>
  <si>
    <t>Radioactive waste, in final repository for nuclear waste LLW U</t>
  </si>
  <si>
    <t>treatment of low level radioactive waste, in interim storage</t>
  </si>
  <si>
    <t>low level radioactive waste</t>
  </si>
  <si>
    <t>Radioactive waste, in interim storage conditioning U</t>
  </si>
  <si>
    <t>treatment of refinery sludge, hazardous waste incineration</t>
  </si>
  <si>
    <t>refinery sludge</t>
  </si>
  <si>
    <t>Disposal, separator sludge, 90% water, to hazardous waste incineration U</t>
  </si>
  <si>
    <t>treatment of spent nuclear fuel, conditioning</t>
  </si>
  <si>
    <t>spent nuclear fuel</t>
  </si>
  <si>
    <t>Nuclear spent fuel, in conditioning, at plant U</t>
  </si>
  <si>
    <t>treatment of spent nuclear fuel, reprocessing</t>
  </si>
  <si>
    <t>Nuclear spent fuel, in reprocessing, at plant U</t>
  </si>
  <si>
    <t>own estimation of share</t>
  </si>
  <si>
    <t xml:space="preserve">Fuel elements PWR, UO2 4.8% &amp; MOX, at nuclear fuel fabrication plant </t>
  </si>
  <si>
    <t>assumption that all fuel is reprocessed</t>
  </si>
  <si>
    <t xml:space="preserve">Battery Charger </t>
  </si>
  <si>
    <t>Simons A, Bauer C. Life cycle assessment of the Evolutionary Power Reactor (EPR) and the influence of different fuel cycle strategies. Proceedings of the Institution of Mechanical Engineers, Part A: Journal of Power and Energy. 2012;226(3):427-444. doi:10.1177/0957650912440549</t>
  </si>
  <si>
    <t>Aluminium, production mix, at plant U</t>
  </si>
  <si>
    <t>Copper, at regional storage U</t>
  </si>
  <si>
    <t>Polypropylene, granulate, at plant U</t>
  </si>
  <si>
    <t>Transport, freight, rail U</t>
  </si>
  <si>
    <t>section bar extrusion, aluminium</t>
  </si>
  <si>
    <t>Section bar extrusion, aluminium U</t>
  </si>
  <si>
    <t>Sheet rolling, steel U</t>
  </si>
  <si>
    <t>Wire drawing, copper U</t>
  </si>
  <si>
    <t xml:space="preserve">Cable Trays TI EPR </t>
  </si>
  <si>
    <t xml:space="preserve">Cable, average,  EPR </t>
  </si>
  <si>
    <t>Polyvinylchloride, at regional storage U</t>
  </si>
  <si>
    <t xml:space="preserve">Condenser EPR </t>
  </si>
  <si>
    <t>Drawing of pipes, steel U</t>
  </si>
  <si>
    <t>market for hot rolling, steel</t>
  </si>
  <si>
    <t>hot rolling, steel</t>
  </si>
  <si>
    <t>Hot rolling, steel U</t>
  </si>
  <si>
    <t>Chromium steel 18/8, at plant U</t>
  </si>
  <si>
    <t xml:space="preserve">Containment penetration EPR </t>
  </si>
  <si>
    <t xml:space="preserve">Cooling tower, wet, EPR </t>
  </si>
  <si>
    <t xml:space="preserve">Cross over pipes &amp; pipes HPT to separator-reheater EPR </t>
  </si>
  <si>
    <t xml:space="preserve">Diesel generator 10MW </t>
  </si>
  <si>
    <t>steel production, electric, low-alloyed</t>
  </si>
  <si>
    <t>Europe without Switzerland and Austria</t>
  </si>
  <si>
    <t>Steel, electric, un- and low-alloyed, at plant U</t>
  </si>
  <si>
    <t xml:space="preserve">Diesel generator 2MW </t>
  </si>
  <si>
    <t>Occupation, construction site</t>
  </si>
  <si>
    <t>Transformation, from industrial area</t>
  </si>
  <si>
    <t>Transformation, from pasture, man made</t>
  </si>
  <si>
    <t xml:space="preserve">Nuclear Island EPR </t>
  </si>
  <si>
    <t xml:space="preserve">Procurement TI EPR </t>
  </si>
  <si>
    <t>excavation, hydraulic digger</t>
  </si>
  <si>
    <t>Excavation, hydraulic digger U</t>
  </si>
  <si>
    <t>excavation, skid-steer loader</t>
  </si>
  <si>
    <t>Excavation, skid-steer loader U</t>
  </si>
  <si>
    <t>heavy fuel oil, burned in refinery furnace</t>
  </si>
  <si>
    <t>Light fuel oil, burned in industrial furnace 1MW, non-modulating U</t>
  </si>
  <si>
    <t>market for electricity, medium voltage</t>
  </si>
  <si>
    <t>electricity, medium voltage</t>
  </si>
  <si>
    <t>Electricity, medium voltage, at grid U</t>
  </si>
  <si>
    <t>market group for electricity, medium voltage</t>
  </si>
  <si>
    <t>UCTE</t>
  </si>
  <si>
    <t>Electricity, medium voltage, production UCTE, at grid/UCTE U</t>
  </si>
  <si>
    <t>Diesel, burned in building machine/GLO U</t>
  </si>
  <si>
    <t>market for waste concrete</t>
  </si>
  <si>
    <t>waste concrete</t>
  </si>
  <si>
    <t>Disposal, concrete, 5% water, to inert material landfill U</t>
  </si>
  <si>
    <t xml:space="preserve">Embeded parts NI EPR </t>
  </si>
  <si>
    <t xml:space="preserve">Fire figting equipment TI EPR </t>
  </si>
  <si>
    <t>SWITZERLAND</t>
  </si>
  <si>
    <t xml:space="preserve">MOX fuel element for LWR, at nuclear fuel fabrication plant </t>
  </si>
  <si>
    <t>reliable source</t>
  </si>
  <si>
    <t xml:space="preserve">Generator EPR </t>
  </si>
  <si>
    <t xml:space="preserve">HVAC ducts </t>
  </si>
  <si>
    <t xml:space="preserve">HVAC equipment </t>
  </si>
  <si>
    <t xml:space="preserve">HVAC fire damper </t>
  </si>
  <si>
    <t xml:space="preserve">HVAC ventilator </t>
  </si>
  <si>
    <t xml:space="preserve">I&amp;C cabinet </t>
  </si>
  <si>
    <t>Aluminium, primary, at plant U</t>
  </si>
  <si>
    <t>Polyester resin, unsaturated, at plant U</t>
  </si>
  <si>
    <t>market for polyethylene, high density, granulate</t>
  </si>
  <si>
    <t>polyethylene, high density, granulate</t>
  </si>
  <si>
    <t>Polyethylene, HDPE, granulate, at plant U</t>
  </si>
  <si>
    <t>Synthetic rubber, at plant U</t>
  </si>
  <si>
    <t>market for tin</t>
  </si>
  <si>
    <t>tin</t>
  </si>
  <si>
    <t>Tin, at regional storage U</t>
  </si>
  <si>
    <t>polycarbonate production</t>
  </si>
  <si>
    <t>Polycarbonate, at plant U</t>
  </si>
  <si>
    <t>polymethyl methacrylate production, beads</t>
  </si>
  <si>
    <t>polymethyl methacrylate, beads</t>
  </si>
  <si>
    <t>Polymethyl methacrylate, beads, at plant U</t>
  </si>
  <si>
    <t>Sheet rolling, aluminium U</t>
  </si>
  <si>
    <t>structural timber production</t>
  </si>
  <si>
    <t>structural timber</t>
  </si>
  <si>
    <t>Sawn timber, hardwood, planed, kiln dried, u=10%, at plant U</t>
  </si>
  <si>
    <t xml:space="preserve">Isolated phase bus </t>
  </si>
  <si>
    <t xml:space="preserve">Liner containment NI EPR </t>
  </si>
  <si>
    <t>Actinides, radioactive, unspecified</t>
  </si>
  <si>
    <t>very few recent data</t>
  </si>
  <si>
    <t>Ammonium, ion</t>
  </si>
  <si>
    <t>old reference</t>
  </si>
  <si>
    <t>BOD5, Biological Oxygen Demand</t>
  </si>
  <si>
    <t>Boron</t>
  </si>
  <si>
    <t>COD, Chemical Oxygen Demand</t>
  </si>
  <si>
    <t>Calcium, ion</t>
  </si>
  <si>
    <t>Chloride</t>
  </si>
  <si>
    <t>Fluoride</t>
  </si>
  <si>
    <t>same as electricity</t>
  </si>
  <si>
    <t>Iron, ion</t>
  </si>
  <si>
    <t>Magnesium</t>
  </si>
  <si>
    <t>Manganese</t>
  </si>
  <si>
    <t>Molybdenum</t>
  </si>
  <si>
    <t>NMVOC, non-methane volatile organic compounds, unspecified origin</t>
  </si>
  <si>
    <t>Nickel, ion</t>
  </si>
  <si>
    <t>Nitrogen</t>
  </si>
  <si>
    <t>Nitrogen oxides</t>
  </si>
  <si>
    <t>Oils, unspecified</t>
  </si>
  <si>
    <t>Phosphorus</t>
  </si>
  <si>
    <t>Radioactive species, alpha emitters</t>
  </si>
  <si>
    <t>Silver, ion</t>
  </si>
  <si>
    <t>Sodium, ion</t>
  </si>
  <si>
    <t>Sulfate</t>
  </si>
  <si>
    <t>Sulfite</t>
  </si>
  <si>
    <t>Suspended solids, unspecified</t>
  </si>
  <si>
    <t>VOC, volatile organic compounds, unspecified origin</t>
  </si>
  <si>
    <t>Union for the Co-ordination of Transmission of Electricity</t>
  </si>
  <si>
    <t>old reference &amp; own assumption</t>
  </si>
  <si>
    <t>market for chromium</t>
  </si>
  <si>
    <t>estimation on number, not on module substituting Zr</t>
  </si>
  <si>
    <t>chromium</t>
  </si>
  <si>
    <t>Chromium, at regional storage U</t>
  </si>
  <si>
    <t>market for low level radioactive waste</t>
  </si>
  <si>
    <t>Low active radioactive waste U</t>
  </si>
  <si>
    <t>market for nuclear fuel factory</t>
  </si>
  <si>
    <t>nuclear fuel factory</t>
  </si>
  <si>
    <t>Nuclear fuel fabrication plant/GLO/I U</t>
  </si>
  <si>
    <t>treatment of inert waste, sanitary landfill</t>
  </si>
  <si>
    <t>inert waste</t>
  </si>
  <si>
    <t>Disposal, inert waste, 5% water, to inert material landfill U</t>
  </si>
  <si>
    <t>treatment of wastewater, unpolluted, capacity 5E9l/year</t>
  </si>
  <si>
    <t>wastewater, unpolluted</t>
  </si>
  <si>
    <t>Treatment, sewage, unpolluted, to wastewater treatment, class 3 U</t>
  </si>
  <si>
    <t xml:space="preserve">Moisture separator-reheater HTP-LPT EPR </t>
  </si>
  <si>
    <t xml:space="preserve">Piping NI EPR </t>
  </si>
  <si>
    <t xml:space="preserve">Polar crane NI EPR </t>
  </si>
  <si>
    <t xml:space="preserve">Primary EPR </t>
  </si>
  <si>
    <t xml:space="preserve">Support primary EPR </t>
  </si>
  <si>
    <t xml:space="preserve">Supports NI EPR </t>
  </si>
  <si>
    <t xml:space="preserve">Switchgear LV </t>
  </si>
  <si>
    <t xml:space="preserve">Switchgear MV </t>
  </si>
  <si>
    <t xml:space="preserve">Tanks, pumps, vessels NI EPR </t>
  </si>
  <si>
    <t xml:space="preserve">Valve, average, NI EPR </t>
  </si>
  <si>
    <t xml:space="preserve">Pipes HPT to reheater stage 2 EPR </t>
  </si>
  <si>
    <t xml:space="preserve">Pipes, valves TI EPR </t>
  </si>
  <si>
    <t xml:space="preserve">Piping primary EPR </t>
  </si>
  <si>
    <t xml:space="preserve">Pressure vessel with internals EPR </t>
  </si>
  <si>
    <t>market for nickel, class 1</t>
  </si>
  <si>
    <t>nickel, class 1</t>
  </si>
  <si>
    <t>Nickel, 99.5%, at plant/GLO U</t>
  </si>
  <si>
    <t xml:space="preserve">Pressurizer primary EPR </t>
  </si>
  <si>
    <t xml:space="preserve">Pump primary EPR </t>
  </si>
  <si>
    <t xml:space="preserve">Steam generator primary EPR </t>
  </si>
  <si>
    <t xml:space="preserve">Procurement civil, partial, TI EPR </t>
  </si>
  <si>
    <t xml:space="preserve">Procurement electrical &amp; I&amp;C equipment TI EPR </t>
  </si>
  <si>
    <t xml:space="preserve">Procurement mechanical TI EPR </t>
  </si>
  <si>
    <t xml:space="preserve">Procurement miscellaneous TI EPR </t>
  </si>
  <si>
    <t xml:space="preserve">Switchgear HV </t>
  </si>
  <si>
    <t xml:space="preserve">Transformer 12kV </t>
  </si>
  <si>
    <t xml:space="preserve">Transformer 500MV </t>
  </si>
  <si>
    <t xml:space="preserve">battery 50kW </t>
  </si>
  <si>
    <t xml:space="preserve">Turbine EPR </t>
  </si>
  <si>
    <t>Wire drawing, steel U</t>
  </si>
  <si>
    <t>Sulfur hexafluoride</t>
  </si>
  <si>
    <t>market for epoxy resin insulator, SiO2</t>
  </si>
  <si>
    <t>epoxy resin insulator, SiO2</t>
  </si>
  <si>
    <t>Epoxy resin insulator (SiO2), at plant U</t>
  </si>
  <si>
    <t>Kraft paper, unbleached, at plant U</t>
  </si>
  <si>
    <t>Sanitary ceramics, at regional storage U</t>
  </si>
  <si>
    <t>Sulphur hexafluoride, liquid, at plant U</t>
  </si>
  <si>
    <t>zinc coating, pieces</t>
  </si>
  <si>
    <t>zinc coat, pieces</t>
  </si>
  <si>
    <t>Zinc coating, pieces U</t>
  </si>
  <si>
    <t>heat production, natural gas, at industrial furnace low-NOx &gt;100kW</t>
  </si>
  <si>
    <t>Electricity/heat</t>
  </si>
  <si>
    <t>heat, district or industrial, natural gas</t>
  </si>
  <si>
    <t>Heat, natural gas, at industrial furnace low-NOx &gt;100kW U</t>
  </si>
  <si>
    <t>natural gas, burned in micro gas turbine, 100kWe</t>
  </si>
  <si>
    <t>heat, central or small-scale, natural gas</t>
  </si>
  <si>
    <t>Natural gas, burned in industrial furnace low-NOx &gt;100kW U</t>
  </si>
  <si>
    <t>Sawn timber, hardwood, planed, air / kiln dried, u=10%, at plant U</t>
  </si>
  <si>
    <t>Uranium alpha</t>
  </si>
  <si>
    <t>few recent data, or too old data</t>
  </si>
  <si>
    <t xml:space="preserve">Uranium, enriched 4.8%, at centrifuge enrichment plant </t>
  </si>
  <si>
    <t>calculated</t>
  </si>
  <si>
    <t xml:space="preserve">Uranium, enriched 4.8%, at URENCO enrichment plant </t>
  </si>
  <si>
    <t>Aluminium</t>
  </si>
  <si>
    <t>environmental report</t>
  </si>
  <si>
    <t>Chromium, ion</t>
  </si>
  <si>
    <t>Copper, ion</t>
  </si>
  <si>
    <t>Ethane, 1,1,1,2-tetrafluoro-, HFC-134a</t>
  </si>
  <si>
    <t>extrapolated from environmental report</t>
  </si>
  <si>
    <t>Ethanol</t>
  </si>
  <si>
    <t>same as for electricity</t>
  </si>
  <si>
    <t>Hydrocarbons, unspecified</t>
  </si>
  <si>
    <t>Hydrogen fluoride</t>
  </si>
  <si>
    <t>Nitrate</t>
  </si>
  <si>
    <t>Phosphate</t>
  </si>
  <si>
    <t>Thorium-234</t>
  </si>
  <si>
    <t>emission from environmental report, but isotpes not given</t>
  </si>
  <si>
    <t>Zinc, ion</t>
  </si>
  <si>
    <t>Europe</t>
  </si>
  <si>
    <t>Brass, at plant U</t>
  </si>
  <si>
    <t>market for hydrochloric acid, without water, in 30% solution state</t>
  </si>
  <si>
    <t>hydrochloric acid, without water, in 30% solution state</t>
  </si>
  <si>
    <t>Hydrochloric acid, 30% in H2O, at plant U</t>
  </si>
  <si>
    <t>market for hydrogen peroxide, without water, in 50% solution state</t>
  </si>
  <si>
    <t>hydrogen peroxide, without water, in 50% solution state</t>
  </si>
  <si>
    <t>Hydrogen peroxide, 50% in H2O, at plant U</t>
  </si>
  <si>
    <t>market for methanol</t>
  </si>
  <si>
    <t>methanol</t>
  </si>
  <si>
    <t>Methanol, at regional storage U</t>
  </si>
  <si>
    <t>market for municipal solid waste</t>
  </si>
  <si>
    <t>municipal solid waste</t>
  </si>
  <si>
    <t>Disposal, municipal solid waste, 22.9% water, to sanitary landfill U</t>
  </si>
  <si>
    <t>market for nitric acid, without water, in 50% solution state</t>
  </si>
  <si>
    <t>RER w/o RU</t>
  </si>
  <si>
    <t>nitric acid, without water, in 50% solution state</t>
  </si>
  <si>
    <t>Nitric acid, 50% in H2O, at plant U</t>
  </si>
  <si>
    <t>market for phosphoric acid, fertiliser grade, without water, in 70% solution state</t>
  </si>
  <si>
    <t>phosphoric acid, fertiliser grade, without water, in 70% solution state</t>
  </si>
  <si>
    <t>Phosphoric acid, fertiliser grade, 70% in H2O, at plant/GLO U</t>
  </si>
  <si>
    <t>market for soap</t>
  </si>
  <si>
    <t>soap</t>
  </si>
  <si>
    <t>Soap, at plant U</t>
  </si>
  <si>
    <t>market for sodium hydroxide, without water, in 50% solution state</t>
  </si>
  <si>
    <t>sodium hydroxide, without water, in 50% solution state</t>
  </si>
  <si>
    <t>Sodium hydroxide, 50% in H2O, production mix, at plant U</t>
  </si>
  <si>
    <t>market for spent anion exchange resin from potable water production</t>
  </si>
  <si>
    <t>spent anion exchange resin from potable water production</t>
  </si>
  <si>
    <t>Disposal, anion exchange resin f. water, 50% water, to municipal incineration U</t>
  </si>
  <si>
    <t>market for uranium enrichment centrifuge facility</t>
  </si>
  <si>
    <t>uranium enrichment centrifuge facility</t>
  </si>
  <si>
    <t>Uranium enrichment centrifuge plant/GLO/I U</t>
  </si>
  <si>
    <t>market for uranium hexafluoride</t>
  </si>
  <si>
    <t>uranium hexafluoride</t>
  </si>
  <si>
    <t>Uranium natural, in uranium hexafluoride, at conversion plant/US U</t>
  </si>
  <si>
    <t>range of data</t>
  </si>
  <si>
    <t>Natural gas, burned in industrial furnace &gt;100kW U</t>
  </si>
  <si>
    <t>market for lead</t>
  </si>
  <si>
    <t>lead</t>
  </si>
  <si>
    <t>Lead, at regional storage U</t>
  </si>
  <si>
    <t>Sulphuric acid, liquid, at plant U</t>
  </si>
  <si>
    <t>electricity production, Small Modular Reactor (SMR)</t>
  </si>
  <si>
    <t>160 MWe SMR approximated from a 1GWe PWR reactor, based on calculations from Krall et al., 2022, https://doi.org/10.1073/pnas.2111833119. 
The fuel burn-up has been adjusted from 53 MW.day/kg to 34 MW.day/kg, translating into an efficiency drop of nearly 36%. 
The infrastructure dataset input (nuclear power plant) has been re-calculated on the basis of the load factor of 90% and a lifetime of 60 years: 1/(160 MW * 60 years * 365 d/y * 24 h/d * 90%)*(160 MWe/1000 MWe)
The yield of low radioactive waste and spent nuclear fuel has been increased by a factor of 2.18 , and 1.72, respectively.
This is a very rough approximation. This dataset should NOT be used if its contribution is important to the system.</t>
  </si>
  <si>
    <t>market for nuclear fuel element, for pressure water reactor, UO2 4.2% &amp; MOX</t>
  </si>
  <si>
    <t>nuclear fuel element, for pressure water reactor, UO2 4.2% &amp; MOX</t>
  </si>
  <si>
    <t>market for cement, unspecified</t>
  </si>
  <si>
    <t>cement, unspecified</t>
  </si>
  <si>
    <t>market for pitch</t>
  </si>
  <si>
    <t>pitch</t>
  </si>
  <si>
    <t>market for boric acid, anhydrous, powder</t>
  </si>
  <si>
    <t>nuclear power plant construction, pressure water reactor, 1000MW</t>
  </si>
  <si>
    <t>nuclear power plant, pressure water reactor, 1000MW</t>
  </si>
  <si>
    <t>market for low level radioactive waste for final repository</t>
  </si>
  <si>
    <t>market for hazardous waste, for incineration</t>
  </si>
  <si>
    <t>market for waste mineral oil</t>
  </si>
  <si>
    <t>waste mineral oil</t>
  </si>
  <si>
    <t>market for fly ash and scrubber sludge</t>
  </si>
  <si>
    <t>fly ash and scrubber sludge</t>
  </si>
  <si>
    <t>market for spent nuclear fuel</t>
  </si>
  <si>
    <t>Barium-140</t>
  </si>
  <si>
    <t>Silver-110</t>
  </si>
  <si>
    <t>Cobalt-58</t>
  </si>
  <si>
    <t>Cerium-144</t>
  </si>
  <si>
    <t>Antimony-122</t>
  </si>
  <si>
    <t>Iodine-133</t>
  </si>
  <si>
    <t>Antimony-124</t>
  </si>
  <si>
    <t>Tellurium-123m</t>
  </si>
  <si>
    <t>Zirconium-95</t>
  </si>
  <si>
    <t>Niobium-95</t>
  </si>
  <si>
    <t>Zinc-65</t>
  </si>
  <si>
    <t>Tellurium-132</t>
  </si>
  <si>
    <t>Cesium-137</t>
  </si>
  <si>
    <t>Technetium-99m</t>
  </si>
  <si>
    <t>Chromium-51</t>
  </si>
  <si>
    <t>Cobalt-60</t>
  </si>
  <si>
    <t>Water</t>
  </si>
  <si>
    <t>water</t>
  </si>
  <si>
    <t>Water, cooling, unspecified natural origin</t>
  </si>
  <si>
    <t>Lanthanum-140</t>
  </si>
  <si>
    <t>Strontium-90</t>
  </si>
  <si>
    <t>Xenon-133</t>
  </si>
  <si>
    <t>Antimony-125</t>
  </si>
  <si>
    <t>Radioactive species, other beta emitters</t>
  </si>
  <si>
    <t>Strontium-89</t>
  </si>
  <si>
    <t>Xenon-135</t>
  </si>
  <si>
    <t>Molybdenum-99</t>
  </si>
  <si>
    <t>Sodium-24</t>
  </si>
  <si>
    <t>Cesium-134</t>
  </si>
  <si>
    <t>Iron-59</t>
  </si>
  <si>
    <t>Cobalt-57</t>
  </si>
  <si>
    <t>Ruthenium-103</t>
  </si>
  <si>
    <t>Cesium-136</t>
  </si>
  <si>
    <t>Krypton-85m</t>
  </si>
  <si>
    <t>Cerium-141</t>
  </si>
  <si>
    <t>Carbon-14</t>
  </si>
  <si>
    <t>Manganese-54</t>
  </si>
  <si>
    <t>chemical factory construction, organics</t>
  </si>
  <si>
    <t>chemical factory, organics</t>
  </si>
  <si>
    <t>inverter, 500kW</t>
  </si>
  <si>
    <t>treatment of waste plastic, mixture, municipal incineration</t>
  </si>
  <si>
    <t>waste plastic, mixture</t>
  </si>
  <si>
    <t>Carbon dioxide, fossil</t>
  </si>
  <si>
    <t>ZA</t>
  </si>
  <si>
    <t>market for tap water</t>
  </si>
  <si>
    <t>tap water</t>
  </si>
  <si>
    <t>steam, in chemical industry</t>
  </si>
  <si>
    <t>metal working factory</t>
  </si>
  <si>
    <t>metal working, average for steel product manufacturing</t>
  </si>
  <si>
    <t>treatment of hazardous waste, hazardous waste incineration</t>
  </si>
  <si>
    <t>waste mineral wool</t>
  </si>
  <si>
    <t>Hydrogen</t>
  </si>
  <si>
    <t>EUR-flat pallet</t>
  </si>
  <si>
    <t>waste polyvinylfluoride</t>
  </si>
  <si>
    <t>polyvinylfluoride</t>
  </si>
  <si>
    <t>nafion membrane production</t>
  </si>
  <si>
    <t>The Vanadium Redox Flow Battery (VRFB) system is divided into two subsystems - a power and an energy sub-system - in accordance with the cell area related to the power and the electrolyte volume related to the energy storage capacity. Remaining components are assigned to the periphery. The considered VRFB system shows a rated power of 1 MW and an energy capacity of 8.3 MWh. The principal battery layout is derived from published literature, majorly a recent publication on stationary VRFB (Minke, C. Techno-ökonomische Modellierung Und Bewertung von Stationären, Vanadium-Redox-Flow-Batterien Im Industriellen Maßstab, 40th ed.; Cuvillier Verlag: Göttingen, 2016). The dimensions of the different parts provided there allow for calculating the battery composition on a mass basis. An 8.3 MWh system requires an electrolyte volume of 194 m3 and, assuming a void volume of 50%, a tank capacity of 300 m3. For a nominal power of 1 MW, two stacks with a total of 155 cells are required. Each stack is composed of a 105 membrane, a bipolar plates, two carbon felt electrodes, two current collector and the two associated gaskets.</t>
  </si>
  <si>
    <t>Life Cycle Assessment of a Vanadium Redox Flow Battery, Selina Weber, Jens F. Peters, Manuel Baumann, and Marcel Weil, Environ. Sci. Technol. 2018, 52, 10864−10873, DOI: 10.1021/acs.est.8b02073</t>
  </si>
  <si>
    <t>nafion membrane</t>
  </si>
  <si>
    <t>Tetrafluoroethylene (C2F4) </t>
  </si>
  <si>
    <t>market for sulfur trioxide</t>
  </si>
  <si>
    <t>sulfur trioxide</t>
  </si>
  <si>
    <t>Sulfur trioxide (SO3) </t>
  </si>
  <si>
    <t>market for hexafluoroethane</t>
  </si>
  <si>
    <t>hexafluoroethane</t>
  </si>
  <si>
    <t>Hexafluoropropene (C3F6) </t>
  </si>
  <si>
    <t>Sodium hypochlorite (NaOCl) </t>
  </si>
  <si>
    <t>Sodium hydroxide (NaOH) </t>
  </si>
  <si>
    <t>market for soda ash, dense</t>
  </si>
  <si>
    <t>soda ash, dense</t>
  </si>
  <si>
    <r>
      <t>Sodium carbonate (Na</t>
    </r>
    <r>
      <rPr>
        <sz val="7"/>
        <color theme="1"/>
        <rFont val="Calibri"/>
        <family val="2"/>
        <scheme val="minor"/>
      </rPr>
      <t>2</t>
    </r>
    <r>
      <rPr>
        <sz val="11"/>
        <color theme="1"/>
        <rFont val="Calibri"/>
        <family val="2"/>
        <scheme val="minor"/>
      </rPr>
      <t>CO</t>
    </r>
    <r>
      <rPr>
        <sz val="7"/>
        <color theme="1"/>
        <rFont val="Calibri"/>
        <family val="2"/>
        <scheme val="minor"/>
      </rPr>
      <t>3</t>
    </r>
    <r>
      <rPr>
        <sz val="11"/>
        <color theme="1"/>
        <rFont val="Calibri"/>
        <family val="2"/>
        <scheme val="minor"/>
      </rPr>
      <t>) </t>
    </r>
  </si>
  <si>
    <t>Infrastructure </t>
  </si>
  <si>
    <t>market for heat, district or industrial, natural gas</t>
  </si>
  <si>
    <t>Process heat </t>
  </si>
  <si>
    <t>Sodium chlorate</t>
  </si>
  <si>
    <t>NaCl </t>
  </si>
  <si>
    <t>Sodium hydroxide</t>
  </si>
  <si>
    <t>NaOH, aqueous solution </t>
  </si>
  <si>
    <t>CO2 </t>
  </si>
  <si>
    <t>treatment of spent solvent mixture, hazardous waste incineration, with energy recovery</t>
  </si>
  <si>
    <t>spent solvent mixture </t>
  </si>
  <si>
    <t>Organic residue </t>
  </si>
  <si>
    <t>Plastic residue </t>
  </si>
  <si>
    <t>treatment of bilge oil, hazardous waste incineration</t>
  </si>
  <si>
    <t>bilge oil </t>
  </si>
  <si>
    <t>Oily residue </t>
  </si>
  <si>
    <t>polyacrylonitrile-based electrode production, for VRFB system</t>
  </si>
  <si>
    <t>The subsequent steps for the production of PAN-based carbon felt, oxidation and carbonization are modelled explicitly and therefore examined more closely since there are no suitable reference processes in ecoinvent. Mass balances are calculated according to stoichiometry. First, the thermal treatment (oxidation) and thus the stabilization of the felt is carried out. Under air oxidation, the PAN raw felt is treated at 300 °C for about one hour. The goal is to transform the felt into an infusible form by stretching and cyclizing the fibres. The heat input of the oxidation process is calculated by means of the heat capacity of polyacrylonitrile. The polyacrylonitrile is heated up from ambient temperature to 300 °C, requiring 0.87 MJ of energy. An efficiency of 85 % of the furnace is assumed. In the following processing step, carbonization is carried out in an inert nitrogen atmosphere at temperatures of up to 1500 °C.</t>
  </si>
  <si>
    <t>polyacrylonitrile-based electrode, for VFRB system</t>
  </si>
  <si>
    <t>carbon fiber production, weaved, at factory</t>
  </si>
  <si>
    <t>carbon fiber, weaved</t>
  </si>
  <si>
    <t>Raw carbon felt </t>
  </si>
  <si>
    <t>Heat, Oxidation </t>
  </si>
  <si>
    <t>Heat, Carbonization </t>
  </si>
  <si>
    <t>market for natural gas, burned in gas turbine</t>
  </si>
  <si>
    <t>natural gas, burned in gas turbine</t>
  </si>
  <si>
    <t>Fuel demand, RTO </t>
  </si>
  <si>
    <t>N2 </t>
  </si>
  <si>
    <t>H2O </t>
  </si>
  <si>
    <t>biopolar plate production, for VRFB system</t>
  </si>
  <si>
    <t>The materials of the bipolar plate must have particular properties because of its multiple responsibilities and the challenging environment in which the VRFB operates. This study focuses on a compound material consisting of synthetic graphite and polypropylene as a binder since these compound components are particularly suitable for redox flow batteries. The mass balance is based on a data sheet from a manufacturer of bipolar plates.</t>
  </si>
  <si>
    <t>biopolar plate, for VRFB system</t>
  </si>
  <si>
    <t>Synthetic graphite </t>
  </si>
  <si>
    <t>Polypropylene </t>
  </si>
  <si>
    <t>Oil </t>
  </si>
  <si>
    <t>market for packaging box factory</t>
  </si>
  <si>
    <t>packaging box factory</t>
  </si>
  <si>
    <t>market for laminated timber element, transversally prestressed, for outdoor use</t>
  </si>
  <si>
    <t>laminated timber element, transversally prestressed, for outdoor use</t>
  </si>
  <si>
    <t>Particle board </t>
  </si>
  <si>
    <t>market for core board</t>
  </si>
  <si>
    <t>core board</t>
  </si>
  <si>
    <t>Core board </t>
  </si>
  <si>
    <t>market for EUR-flat pallet</t>
  </si>
  <si>
    <t>Pallet </t>
  </si>
  <si>
    <t>market for solid bleached and unbleached board carton</t>
  </si>
  <si>
    <t>solid bleached and unbleached board carton</t>
  </si>
  <si>
    <t>Bleached board </t>
  </si>
  <si>
    <t>Water </t>
  </si>
  <si>
    <t>market for steam, in chemical industry</t>
  </si>
  <si>
    <t>Steam </t>
  </si>
  <si>
    <t>Heat </t>
  </si>
  <si>
    <t>Electricity </t>
  </si>
  <si>
    <t>Transport, lorry </t>
  </si>
  <si>
    <t>Transport, train </t>
  </si>
  <si>
    <t>stack frame assembly, for VRFB system</t>
  </si>
  <si>
    <t>The stack frame is a steel structure consisting of two double T-profiles which correspond to the dimensions of the stack. The dimension and weight are estimated based on a technical datasheet for a representative steel profile.</t>
  </si>
  <si>
    <t>stack frame, for VRFB system</t>
  </si>
  <si>
    <t>Steel frame, material </t>
  </si>
  <si>
    <t>market for metal working, average for steel product manufacturing</t>
  </si>
  <si>
    <t>Steel frame, processing </t>
  </si>
  <si>
    <t>market for welding, arc, steel</t>
  </si>
  <si>
    <t>welding, arc, steel</t>
  </si>
  <si>
    <t>T-Profile welding </t>
  </si>
  <si>
    <t>Transport, lorry, steel </t>
  </si>
  <si>
    <t>Transport, train, steel </t>
  </si>
  <si>
    <t>vanadium electrolyte solution production</t>
  </si>
  <si>
    <t>The electrolyte composition is derived from technical data sheet of the manufacturer Gfe GmbH, and is confirmed by private correspondence with experts. The vanadium concentration within the electrolyte is 1.6 mol / L and the sulfate concentration 2 mol / L. Additionally, 0.05 mol / L of phosphoric acid is used as a stabilizer. The mass fractions of the four components vanadium, sulfuric acid, phosphoric acid and water are calculated taking into account the molar mass as well as the density of the electrolyte. The density of the electrolyte consequently corresponds to 1.35 kg / L.</t>
  </si>
  <si>
    <t>vanadium electrolyte solution</t>
  </si>
  <si>
    <t>vanadium pentoxide production</t>
  </si>
  <si>
    <t>vanadium pentoxide</t>
  </si>
  <si>
    <t>Vanadium pentoxide </t>
  </si>
  <si>
    <t>Sulfuric acid </t>
  </si>
  <si>
    <t>market for phosphoric acid, industrial grade, without water, in 85% solution state</t>
  </si>
  <si>
    <t>phosphoric acid, industrial grade, without water, in 85% solution state</t>
  </si>
  <si>
    <t>Phosphoric acid </t>
  </si>
  <si>
    <t>Transport, ship overseas </t>
  </si>
  <si>
    <t>Transport, barge </t>
  </si>
  <si>
    <t>Transport lorry (ZA) </t>
  </si>
  <si>
    <t>electrolyte tank production, for VRFB system</t>
  </si>
  <si>
    <t>The vanadium electrolyte is stored in plastic tanks. These tanks must be composed of materials which are resistant to corrosion in the very low pH environment. Glass fiber with a PVC inline is selected as a particularly suitable material. It is assumed that each tank has a volume of 50 m3. According to the literature, the total tank volume for a VRFB configuration with a rated power of 1 MW and an energy capacity of 8.3 MWh is 300 m3. Therefore, six tanks for the stated total tank volume are required.</t>
  </si>
  <si>
    <t>electrolyte tank</t>
  </si>
  <si>
    <t>market for glass fibre</t>
  </si>
  <si>
    <t>glass fibre</t>
  </si>
  <si>
    <t>market for extrusion, plastic pipes </t>
  </si>
  <si>
    <t>extrusion, plastic pipes </t>
  </si>
  <si>
    <t>treatment of waste mineral wool, collection for final disposal</t>
  </si>
  <si>
    <t>Hydrocarbons, aromatic</t>
  </si>
  <si>
    <t>current collector production, for VRFB system</t>
  </si>
  <si>
    <t>As a current collector, copper plates with a thickness of 20 mm are used at both ends of the stack. It is assumed that 1 kg of copper is required for the production of 1 kg of current collector. The processing of the plate is assumed to be sheet rolled. Accordingly, the ecoinvent dataset “sheet rolling, copper” is applied.</t>
  </si>
  <si>
    <t>current collector, for VRFB system</t>
  </si>
  <si>
    <t>Copper plate, material </t>
  </si>
  <si>
    <t>market for sheet rolling, copper </t>
  </si>
  <si>
    <t>sheet rolling, copper </t>
  </si>
  <si>
    <t>Copper plate, processing </t>
  </si>
  <si>
    <t>market for metal working factory</t>
  </si>
  <si>
    <t>polyvinylchloride cell frame production, for VRFB system</t>
  </si>
  <si>
    <t>Each cell is surrounded by an extruded polyvinylchloride (PVC) frame. Thus, the corresponding ecoinvent dataset for polyvinylchloride is used. Since the frame is shaped by extrusion, the corresponding ecoinvent dataset is applied.</t>
  </si>
  <si>
    <t>polyvinylchloride cell frame, for VRFB system</t>
  </si>
  <si>
    <t>Polyvinylchloride </t>
  </si>
  <si>
    <t>Extrusion </t>
  </si>
  <si>
    <t>gasket production, FKM, for VRFB system</t>
  </si>
  <si>
    <t>FKM gaskets represent the first modeled variant. An important type of FKM is the terpolymer consisting of vinylidene fluoride (VDF), hexafluoropropylene (HFP) and tetrafluoroethylene (TFE). The respective ecoinvent datasets of the chemicals are used in which HFE is approximated by HFP and VFD by polyvinyl fluoride. As a forming process, the reference process “extrusion, plastic pipes” is used.</t>
  </si>
  <si>
    <t>gasket, FKM</t>
  </si>
  <si>
    <t>market for hexafluoroethane </t>
  </si>
  <si>
    <t>hexafluoroethane </t>
  </si>
  <si>
    <t>HFE </t>
  </si>
  <si>
    <t>market for tetrafluoroethylene </t>
  </si>
  <si>
    <t>tetrafluoroethylene </t>
  </si>
  <si>
    <t>TFE </t>
  </si>
  <si>
    <t>market for polyvinylfluoride</t>
  </si>
  <si>
    <t>Polyvinyl fluoride </t>
  </si>
  <si>
    <t>Extrusion, plastic pipes </t>
  </si>
  <si>
    <t>Transport, rail </t>
  </si>
  <si>
    <t>copper cable production, for VRFB system</t>
  </si>
  <si>
    <t>copper cable, for VRFB system</t>
  </si>
  <si>
    <t>Tap water </t>
  </si>
  <si>
    <t>Copper </t>
  </si>
  <si>
    <t>PVC </t>
  </si>
  <si>
    <t>market for wire drawing, copper </t>
  </si>
  <si>
    <t>wire drawing, copper </t>
  </si>
  <si>
    <t>Wire drawing </t>
  </si>
  <si>
    <t>market for rolling mill </t>
  </si>
  <si>
    <t>rolling mill </t>
  </si>
  <si>
    <t>Disposal </t>
  </si>
  <si>
    <t>pumps assembly, for VRFB system</t>
  </si>
  <si>
    <t>Two centrifugal pumps are required to pump the electrolyte into the cells. In addition, in each electrolyte circuit, two pumps are arranged redundantly. For the design of the pump it is assumed that the effective volume flow is 200 m3/h. The required size and mass of the pump can be derived from the data given in the technical data sheets from commercial providers of centrifugal pumps. Here, the flow rate is used as the basis for further calculations. As a result, the weight per pump is calculated to be 145 kg. Since there is no further information on the exact composition of the various materials for the production of the centrifugal pump, a reference process from ecoinvent is used for 408 assistance (pump production, 40 W). The required masses of the raw materials are adapted correspondingly, since the modeled VRFB pumps have a higher power.</t>
  </si>
  <si>
    <t>pumps, for VRFB system</t>
  </si>
  <si>
    <t>Aluminum </t>
  </si>
  <si>
    <t>Iron </t>
  </si>
  <si>
    <t>market for steel, chromium steel 18/8, hot rolled </t>
  </si>
  <si>
    <t>steel, chromium steel 18/8, hot rolled </t>
  </si>
  <si>
    <t>Stainless steel </t>
  </si>
  <si>
    <t>market for synthetic rubber </t>
  </si>
  <si>
    <t>synthetic rubber </t>
  </si>
  <si>
    <t>Rubber </t>
  </si>
  <si>
    <t>market for hot water tank factory </t>
  </si>
  <si>
    <t>hot water tank factory </t>
  </si>
  <si>
    <t>market for waste polyvinylchloride product</t>
  </si>
  <si>
    <t>waste polyvinylchloride product </t>
  </si>
  <si>
    <t>pipes assembly, for VRFB system</t>
  </si>
  <si>
    <t>The pipes are steel pipes with a Teflon® lining. The required length of the cables is derived from the stack geometry so that a length of 30 meters is required for each electrolyte circuit. In addition, 5 meters of pipeline per stack are required. It is assumed that a standard pipe with the diameter DN 418 50 (60.3 mm) is used and that the Teflon® lining is 1 mm. By means of the density and the 419 dimensions, the required quantity of steel and Teflon® can be calculated. Since there is no ecoinvent dataset for Teflon®, TFE is used as approximation. The ecoinvent standard distances are applied for steel and plastics respectively.</t>
  </si>
  <si>
    <t>pipes, for VRFB system</t>
  </si>
  <si>
    <t>market for steel, chromium steel 18/8 </t>
  </si>
  <si>
    <t>steel, chromium steel 18/8 </t>
  </si>
  <si>
    <t>Steel, material </t>
  </si>
  <si>
    <t>market for tetrafluoroethylene film, on glass</t>
  </si>
  <si>
    <t>tetrafluoroethylene film, on glass</t>
  </si>
  <si>
    <t>Teflon® lining </t>
  </si>
  <si>
    <t>market for drawing of pipe, steel </t>
  </si>
  <si>
    <t>drawing of pipe, steel </t>
  </si>
  <si>
    <t>Processing, steel </t>
  </si>
  <si>
    <t>heat exchanger production, for VRFB system</t>
  </si>
  <si>
    <t>The heat exchanger used is a plate heat exchanger whose design is based on the heat exchange surface and the needed capacity of 1 MW. Since there is no information available regarding the heat exchanger, data from a heat exchanger from a secondary publication are used and scaled accordingly. The technical design of the heat exchanger for the VRFB is based on C. Minke. The required quantities of raw materials, as well as the energy and heat demand, are adjusted by means of the heat flow. It is assumed that the whole heat exchanger is made of stainless steel since other materials account for a very small mass32. Furthermore, the production of the heat exchanger is assumed to take place in Sweden and thus, transport distances from Sweden to Germany are applied.</t>
  </si>
  <si>
    <t>heat exchanger, for VRFB system</t>
  </si>
  <si>
    <t>Processing, stainless steel </t>
  </si>
  <si>
    <t>stack monitoring interface assembly, for VRFB system</t>
  </si>
  <si>
    <t>Here, it is assumed that a monitoring system is required per stack and thus one BMS is required to control them. It must be noted that this is assumed to be major simplification, while the process control system is a relevant component. In fact, the modeling of the process control system is a crucial aspect since electronics potentially show high impacts in several categories. Therefore, this major gap needs to be fulfilled by future research.</t>
  </si>
  <si>
    <t>stack monitoring interface, for VRFB system</t>
  </si>
  <si>
    <t>Steel housing, material </t>
  </si>
  <si>
    <t>market for electronics, for control units </t>
  </si>
  <si>
    <t>electronics, for control units </t>
  </si>
  <si>
    <t>Electronics, control </t>
  </si>
  <si>
    <t>market for cable, unspecified </t>
  </si>
  <si>
    <t>cable, unspecified </t>
  </si>
  <si>
    <t>Sensor cable </t>
  </si>
  <si>
    <t>market for cable, data cable in infrastructure </t>
  </si>
  <si>
    <t>cable, data cable in infrastructure </t>
  </si>
  <si>
    <t>Data cable </t>
  </si>
  <si>
    <t>Plastic parts and isolation </t>
  </si>
  <si>
    <t>market for sheet rolling, steel </t>
  </si>
  <si>
    <t>sheet rolling, steel </t>
  </si>
  <si>
    <t>Processing, steel housing </t>
  </si>
  <si>
    <t>market for injection moulding </t>
  </si>
  <si>
    <t>injection moulding </t>
  </si>
  <si>
    <t>Processing, plastic parts </t>
  </si>
  <si>
    <t>battery management system assembly, for VRFB system</t>
  </si>
  <si>
    <t>battery management system, for VRFB system</t>
  </si>
  <si>
    <t>PP housing, material </t>
  </si>
  <si>
    <t>PP housing, production </t>
  </si>
  <si>
    <t>market for liquid crystal display, unmounted</t>
  </si>
  <si>
    <t>liquid crystal display, unmounted</t>
  </si>
  <si>
    <t>Display </t>
  </si>
  <si>
    <t>Electronics </t>
  </si>
  <si>
    <t>process control system assembly, for VRFB system</t>
  </si>
  <si>
    <t>process control system, for VRFB system</t>
  </si>
  <si>
    <t>Monitoring </t>
  </si>
  <si>
    <t>Battery management system </t>
  </si>
  <si>
    <t>treatment of stack, for VRFB system</t>
  </si>
  <si>
    <t>used stack, for VRFB system</t>
  </si>
  <si>
    <t>market for waste polyvinylfluoride</t>
  </si>
  <si>
    <t>market group for waste plastic, mixture</t>
  </si>
  <si>
    <t>market for iron scrap, unsorted</t>
  </si>
  <si>
    <t>iron scrap, unsorted</t>
  </si>
  <si>
    <t>market for copper scrap, sorted, pressed</t>
  </si>
  <si>
    <t>copper scrap, sorted, pressed</t>
  </si>
  <si>
    <t>treatment of electrolyte tank, for VRFB system</t>
  </si>
  <si>
    <t>used electrolyte tank, for VRFB system</t>
  </si>
  <si>
    <t>treatment of electrolyte solution, for VRFB system</t>
  </si>
  <si>
    <t>used electrolyte solution, for VRFB system</t>
  </si>
  <si>
    <t>treatment of periphericals, for VRFB system</t>
  </si>
  <si>
    <t>used periphericals, for VRFB system</t>
  </si>
  <si>
    <t>treatment of used cable</t>
  </si>
  <si>
    <t>used cable</t>
  </si>
  <si>
    <t>treatment of waste electric and electronic equipment, shredding</t>
  </si>
  <si>
    <t>waste electric and electronic equipment</t>
  </si>
  <si>
    <t>vanadium-redox flow battery stack assembly</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</si>
  <si>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 of the system is 20 years or 8176 cycle-lifes (49,000 MWh).</t>
  </si>
  <si>
    <t>vanadium-redox flow battery stack</t>
  </si>
  <si>
    <t>Membrane </t>
  </si>
  <si>
    <t>Electrode </t>
  </si>
  <si>
    <t>Bipolar plate </t>
  </si>
  <si>
    <t>Current collector </t>
  </si>
  <si>
    <t>Cell frame </t>
  </si>
  <si>
    <t>Gaskets </t>
  </si>
  <si>
    <t>Stack frame </t>
  </si>
  <si>
    <t>vanadium-redox flow battery system assembly, 8.3 megawatt hour</t>
  </si>
  <si>
    <t>vanadium-redox flow battery system</t>
  </si>
  <si>
    <t>Stack</t>
  </si>
  <si>
    <t>Electrolyte </t>
  </si>
  <si>
    <t>Tank </t>
  </si>
  <si>
    <t>Pumps </t>
  </si>
  <si>
    <t>Pipes </t>
  </si>
  <si>
    <t>market for inverter, 500kW</t>
  </si>
  <si>
    <t>Inverter </t>
  </si>
  <si>
    <t>Cables </t>
  </si>
  <si>
    <t>PCS </t>
  </si>
  <si>
    <t>Heat exchanger </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</si>
  <si>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lifetimeof the system is 20 years or 8176 cycle-lifes (49,000 MWh).</t>
  </si>
  <si>
    <t>Electricity input plus losses</t>
  </si>
  <si>
    <t>Infrastructure requirements 1/49000 MWh</t>
  </si>
  <si>
    <t>Replacement stack</t>
  </si>
  <si>
    <t>EoL of both stack</t>
  </si>
  <si>
    <t>Electrolyte tank EoL</t>
  </si>
  <si>
    <t>Electrolyte EoL</t>
  </si>
  <si>
    <t>Peripherals EoL</t>
  </si>
  <si>
    <t>electricity supply, high voltage, from vanadium-redox flow battery system RTE2050</t>
  </si>
  <si>
    <t>hydrogen, gaseous, 30 bar</t>
  </si>
  <si>
    <t>Sulfur dioxide</t>
  </si>
  <si>
    <t>spent solvent mixture</t>
  </si>
  <si>
    <t>market for spent solvent mixture</t>
  </si>
  <si>
    <t>basic oxygen furnace slag</t>
  </si>
  <si>
    <t>treatment of basic oxygen furnace slag, residual material landfill</t>
  </si>
  <si>
    <t>sodium sulfate, anhydrite</t>
  </si>
  <si>
    <t>market for sodium sulfate, anhydrite</t>
  </si>
  <si>
    <t>ammonium sulfate</t>
  </si>
  <si>
    <t>market for ammonium sulfate</t>
  </si>
  <si>
    <t>vanadium slag</t>
  </si>
  <si>
    <t>vanadium slag production</t>
  </si>
  <si>
    <t>Comment</t>
  </si>
  <si>
    <t>The basic process for the preparation of the vanadium pentoxide is based on literature data. The obtained vanadium slag is first ground and the iron granulates are removed. Electricity demand for these process steps are taken from reference processes (grinding and crushing for aluminum oxide and sieving for soda ash). Afterwards, the material is mixed with sodium salts (Na2SO4 and Na2CO3) and roasted in a rotary kiln at 850 °C. Emissions, such as sulfur dioxide and carbon dioxide are calculated using stoichiometric relationships. Electricity and heat demand for driving the rotary kiln are taken from a reference process (rotary kiln for phosphorus production). After cooling, the roasted product is leached with water by adding sulfuric acid and ammonium at elevated temperature. The intermediate product ammonium polyvanadate is precipitated. A yield of 90 % is assumed. In addition, sodium sulfate is formed as a by-product. As reference process for the electricity demand, the digestor in the titanium dioxide production is used. Based on stoichiometric calculations, the required input of sulfuric acid and the output of sodium sulfate are computed.</t>
  </si>
  <si>
    <t>Zinc</t>
  </si>
  <si>
    <t>air::urban air close to ground</t>
  </si>
  <si>
    <t>Water, unspecified natural origin</t>
  </si>
  <si>
    <t>Polychlorinated biphenyls</t>
  </si>
  <si>
    <t>Particulates, &gt; 10 um</t>
  </si>
  <si>
    <t>Particulates, &lt; 2.5 um</t>
  </si>
  <si>
    <t>PAH, polycyclic aromatic hydrocarbons</t>
  </si>
  <si>
    <t>Nickel</t>
  </si>
  <si>
    <t>Mercury</t>
  </si>
  <si>
    <t>Lead</t>
  </si>
  <si>
    <t>Hydrogen chloride</t>
  </si>
  <si>
    <t>Dioxins, measured as 2,3,7,8-tetrachlorodibenzo-p-dioxin</t>
  </si>
  <si>
    <t>Copper</t>
  </si>
  <si>
    <t>Chromium VI</t>
  </si>
  <si>
    <t>Chromium</t>
  </si>
  <si>
    <t>Carbon monoxide, fossil</t>
  </si>
  <si>
    <t>Cadmium</t>
  </si>
  <si>
    <t>Benzene</t>
  </si>
  <si>
    <t>Argon-40</t>
  </si>
  <si>
    <t>refractory, basic, packed</t>
  </si>
  <si>
    <t>market for refractory, basic, packed</t>
  </si>
  <si>
    <t>quicklime, in pieces, loose</t>
  </si>
  <si>
    <t>market for quicklime, in pieces, loose</t>
  </si>
  <si>
    <t>propane, burned in building machine</t>
  </si>
  <si>
    <t>market for propane, burned in building machine</t>
  </si>
  <si>
    <t>natural gas, high pressure</t>
  </si>
  <si>
    <t>market for natural gas, high pressure</t>
  </si>
  <si>
    <t>molybdenum trioxide</t>
  </si>
  <si>
    <t>market for molybdenum trioxide</t>
  </si>
  <si>
    <t>inert waste, for final disposal</t>
  </si>
  <si>
    <t>market for inert waste, for final disposal</t>
  </si>
  <si>
    <t>hard coal</t>
  </si>
  <si>
    <t>market for hard coal</t>
  </si>
  <si>
    <t>ferrosilicon</t>
  </si>
  <si>
    <t>market for ferrosilicon</t>
  </si>
  <si>
    <t>ferromanganese, high-coal, 74.5% Mn</t>
  </si>
  <si>
    <t>market for ferromanganese, high-coal, 74.5% Mn</t>
  </si>
  <si>
    <t>ferrochromium, high-carbon, 68% Cr</t>
  </si>
  <si>
    <t>market for ferrochromium, high-carbon, 68% Cr</t>
  </si>
  <si>
    <t>ethylene glycol</t>
  </si>
  <si>
    <t>market for ethylene glycol</t>
  </si>
  <si>
    <t>electric arc furnace slag</t>
  </si>
  <si>
    <t>market for electric arc furnace slag</t>
  </si>
  <si>
    <t>electric arc furnace dust</t>
  </si>
  <si>
    <t>market for electric arc furnace dust</t>
  </si>
  <si>
    <t>anode, for metal electrolysis</t>
  </si>
  <si>
    <t>market for anode, for metal electrolysis</t>
  </si>
  <si>
    <t>vanadium pentoxide bearing cast iron</t>
  </si>
  <si>
    <t>vanadium pentoxide bearing cast iron, production</t>
  </si>
  <si>
    <t>After reduction, a slag is also formed during the reduction stage. It contains about 30 % titanium dioxide which is deposited on slag piles. In a heat-resistant ladle, the molten pig iron is oxidized with oxygen lances, with the vanadium being transferred to the slag. The resulting slag contains 25 % vanadium pentoxide, being the principal raw material for the vanadium production.
In order to model this process, the ecoinvent dataset “steel production, electric arc furnace” is modified. Steel and vanadium pentoxide bearing slag are outputs of the process. The amount of the slag is adjusted so that the ladle slag (vanadium slag) has targeted vanadium pentoxide concentration of 25 %. In addition, the allocation between the two by-products, vanadium slag and steel, is done based on their market prices. Since no price for vanadium bearing slag is available, this is approximated by the market price for vanadium pentoxide and the corresponding V2O5 content of the slag. Original values were multiplied by 50%, following allocation in Table S12 from the original paper</t>
  </si>
  <si>
    <t>pre-reduced vanadium pentoxide bearing magnetite</t>
  </si>
  <si>
    <t>pre-reduced vanadium pentoxide bearing magnetite production</t>
  </si>
  <si>
    <t>A reduction is performed on vanadium pentoxide-bearing magnetite in an electric arc furnace to obtain a cast iron (pig iron) which still contains the vanadium from the ore (1.4 % vanadium pentoxide in the iron).</t>
  </si>
  <si>
    <t>Silver</t>
  </si>
  <si>
    <t>Methane, fossil</t>
  </si>
  <si>
    <t>Hydrocarbons, aliphatic, alkanes, unspecified</t>
  </si>
  <si>
    <t>Dinitrogen monoxide</t>
  </si>
  <si>
    <t>Cadmium, ion</t>
  </si>
  <si>
    <t>Arsenic, ion</t>
  </si>
  <si>
    <t>market group for tap water</t>
  </si>
  <si>
    <t>heat, district or industrial, other than natural gas</t>
  </si>
  <si>
    <t>market for heat, district or industrial, other than natural gas</t>
  </si>
  <si>
    <t>aluminium oxide factory</t>
  </si>
  <si>
    <t>market for aluminium oxide factory</t>
  </si>
  <si>
    <t>solvent, organic</t>
  </si>
  <si>
    <t>market for solvent, organic</t>
  </si>
  <si>
    <t>steel, unalloyed</t>
  </si>
  <si>
    <t>market for steel, unalloyed</t>
  </si>
  <si>
    <t>dolomite</t>
  </si>
  <si>
    <t>market for dolomite</t>
  </si>
  <si>
    <t>vanadium bearing magnetite</t>
  </si>
  <si>
    <t>vanadium bearing magnetite production</t>
  </si>
  <si>
    <t>Usually, vanadium is obtained from vanadium containing titanomagnetite ore. The principal product253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t>
  </si>
  <si>
    <t>Transformation, to mineral extraction site</t>
  </si>
  <si>
    <t>Transformation, from forest, unspecified</t>
  </si>
  <si>
    <t>Occupation, mineral extraction site</t>
  </si>
  <si>
    <t>Vanadium</t>
  </si>
  <si>
    <t>recultivation, ilmenite mine</t>
  </si>
  <si>
    <t>market for recultivation, ilmenite mine</t>
  </si>
  <si>
    <t>blasting</t>
  </si>
  <si>
    <t>market for blasting</t>
  </si>
  <si>
    <t>petrol, unleaded, burned in machinery</t>
  </si>
  <si>
    <t>market for petrol, unleaded, burned in machinery</t>
  </si>
  <si>
    <t>market for heat, central or small-scale, natural gas</t>
  </si>
  <si>
    <t>conveyor belt</t>
  </si>
  <si>
    <t>market for conveyor belt</t>
  </si>
  <si>
    <t>industrial machine, heavy, unspecified</t>
  </si>
  <si>
    <t>market for industrial machine, heavy, unspecified</t>
  </si>
  <si>
    <t>mine infrastructure, open cast, ilmenite from hard-rock ore</t>
  </si>
  <si>
    <t>market for mine infrastructure, open cast, ilmenite from hard-rock ore</t>
  </si>
  <si>
    <t>ilmenite, 54% titanium dioxide</t>
  </si>
  <si>
    <t>market for ilmenite, 54% titanium dioxide</t>
  </si>
  <si>
    <t>Usually, vanadium is obtained from vanadium containing titanomagnetite ore. The principal product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 
Allocation has been performed in a separate sheet, taking the monetary values from ecoinvent and the original source. 77% is allocated to the vanadium bearing magnetite and 23% to the titanium dioxide</t>
  </si>
  <si>
    <t>titania slag, 94% titanium dioxide</t>
  </si>
  <si>
    <t>Fe</t>
  </si>
  <si>
    <t>V2O5</t>
  </si>
  <si>
    <t>Allocation</t>
  </si>
  <si>
    <t>Value (eur)</t>
  </si>
  <si>
    <t>price (eur/kg)</t>
  </si>
  <si>
    <t>mass</t>
  </si>
  <si>
    <t>Product</t>
  </si>
  <si>
    <t>Water, well, in ground</t>
  </si>
  <si>
    <t>Cobalt II</t>
  </si>
  <si>
    <t>concrete, normal strength</t>
  </si>
  <si>
    <t>market for concrete, normal strength</t>
  </si>
  <si>
    <t xml:space="preserve">market for concrete, normal strength </t>
  </si>
  <si>
    <t>concrete, normal, at plant U</t>
  </si>
  <si>
    <t>market for electricity, high voltage w/o import, RTE2050</t>
  </si>
  <si>
    <t>electricity production, hydro, pumped storage, RTE2050</t>
  </si>
  <si>
    <t>copy/paste from ei</t>
  </si>
  <si>
    <t>hydropower plant construction, reservoir, alpine region</t>
  </si>
  <si>
    <t>Methane, non-fossil</t>
  </si>
  <si>
    <t>Occupation, lake, artificial</t>
  </si>
  <si>
    <t>Transformation, from unspecified</t>
  </si>
  <si>
    <t>Transformation, to lake, artificial</t>
  </si>
  <si>
    <t>Volume occupied, reservoir</t>
  </si>
  <si>
    <t>Water, turbine use, unspecified natural origin</t>
  </si>
  <si>
    <t>cubic meter-year</t>
  </si>
  <si>
    <t>market for sheet rolling, aluminium</t>
  </si>
  <si>
    <t>market for sheet rolling, copper</t>
  </si>
  <si>
    <t>sheet rolling, copper</t>
  </si>
  <si>
    <t>market for sheet rolling, chromium steel</t>
  </si>
  <si>
    <t>sheet rolling, chromium steel</t>
  </si>
  <si>
    <t>market for sheet rolling, steel</t>
  </si>
  <si>
    <t>market for tube insulation, elastomere</t>
  </si>
  <si>
    <t>market for wire drawing, copper</t>
  </si>
  <si>
    <t>market for injection moulding</t>
  </si>
  <si>
    <t>injection moulding</t>
  </si>
  <si>
    <t>market for zeolite, powder</t>
  </si>
  <si>
    <t>zeolite, powder</t>
  </si>
  <si>
    <t>market for polyethylene, low density, granulate</t>
  </si>
  <si>
    <t>polyethylene, low density, granulate</t>
  </si>
  <si>
    <t>market for potassium hydroxide</t>
  </si>
  <si>
    <t>potassium hydroxide</t>
  </si>
  <si>
    <t>market for polysulfone</t>
  </si>
  <si>
    <t>polysulfone</t>
  </si>
  <si>
    <t>market for zirconium oxide</t>
  </si>
  <si>
    <t>zirconium oxide</t>
  </si>
  <si>
    <t>hydrogen production, gaseous, PEM electrolysis, 30 bar, domestic, RTE2050</t>
  </si>
  <si>
    <t>unsaturated hydrocarbons production, steam cracking operation, average</t>
  </si>
  <si>
    <t>Butadiene</t>
  </si>
  <si>
    <t>Butane</t>
  </si>
  <si>
    <t>Butene</t>
  </si>
  <si>
    <t>DOC, Dissolved Organic Carbon</t>
  </si>
  <si>
    <t>Ethane</t>
  </si>
  <si>
    <t>Ethylene</t>
  </si>
  <si>
    <t>Ethyne</t>
  </si>
  <si>
    <t>Formamide</t>
  </si>
  <si>
    <t>Heptane</t>
  </si>
  <si>
    <t>Hydrocarbons, aliphatic, alkanes, cyclic</t>
  </si>
  <si>
    <t>Hydrocarbons, chlorinated</t>
  </si>
  <si>
    <t>Mercury II</t>
  </si>
  <si>
    <t>Methanol</t>
  </si>
  <si>
    <t>NMVOC, non-methane volatile organic compounds</t>
  </si>
  <si>
    <t>Particulate Matter, &gt; 2.5 um and &lt; 10um</t>
  </si>
  <si>
    <t>Phenol</t>
  </si>
  <si>
    <t>Propene</t>
  </si>
  <si>
    <t>Styrene</t>
  </si>
  <si>
    <t>TOC, Total Organic Carbon</t>
  </si>
  <si>
    <t>Toluene</t>
  </si>
  <si>
    <t>Zinc II</t>
  </si>
  <si>
    <t>t-Butyl methyl ether</t>
  </si>
  <si>
    <t>market for butane</t>
  </si>
  <si>
    <t>market for compressed air, 700 kPa gauge</t>
  </si>
  <si>
    <t>market for ethane</t>
  </si>
  <si>
    <t>market for hazardous waste, for underground deposit</t>
  </si>
  <si>
    <t>market for natural gas liquids</t>
  </si>
  <si>
    <t>market for propane</t>
  </si>
  <si>
    <t>market for refinery gas</t>
  </si>
  <si>
    <t>market for wastewater, average</t>
  </si>
  <si>
    <t>Could be moddified to a dedicated RTE2050 acivity</t>
  </si>
  <si>
    <t>market group for diesel</t>
  </si>
  <si>
    <t>chlor-alkali electrolysis, membrane cell</t>
  </si>
  <si>
    <t>AOX, Adsorbable Organic Halogen</t>
  </si>
  <si>
    <t>Aluminium III</t>
  </si>
  <si>
    <t>Ammonia</t>
  </si>
  <si>
    <t>Ammonium</t>
  </si>
  <si>
    <t>Arsenic ion</t>
  </si>
  <si>
    <t>Bromate</t>
  </si>
  <si>
    <t>Cadmium II</t>
  </si>
  <si>
    <t>Chlorate</t>
  </si>
  <si>
    <t>Chlorine</t>
  </si>
  <si>
    <t>Chloroform</t>
  </si>
  <si>
    <t>Chromium III</t>
  </si>
  <si>
    <t>Copper ion</t>
  </si>
  <si>
    <t>Cyanide</t>
  </si>
  <si>
    <t>Hydrochloric acid</t>
  </si>
  <si>
    <t>Iron ion</t>
  </si>
  <si>
    <t>Lead II</t>
  </si>
  <si>
    <t>Methane, dichloro-, HCC-30</t>
  </si>
  <si>
    <t>Nickel II</t>
  </si>
  <si>
    <t>Particulate Matter, &lt; 2.5 um</t>
  </si>
  <si>
    <t>Particulate Matter, &gt; 10 um</t>
  </si>
  <si>
    <t>Sodium I</t>
  </si>
  <si>
    <t>Sulfur oxides</t>
  </si>
  <si>
    <t>Tetrachloroethylene</t>
  </si>
  <si>
    <t>Tin ion</t>
  </si>
  <si>
    <t>water::ocean</t>
  </si>
  <si>
    <t>market for activated carbon, granular</t>
  </si>
  <si>
    <t>market for ammonia, anhydrous, liquid</t>
  </si>
  <si>
    <t>market for barium carbonate</t>
  </si>
  <si>
    <t>market for calcium chloride</t>
  </si>
  <si>
    <t>market for compressed air, 600 kPa gauge</t>
  </si>
  <si>
    <t>market for heat, from steam, in chemical industry</t>
  </si>
  <si>
    <t>market for inert waste</t>
  </si>
  <si>
    <t>market for perfluoropentane</t>
  </si>
  <si>
    <t>market for potassium carbonate</t>
  </si>
  <si>
    <t>market for potassium chloride</t>
  </si>
  <si>
    <t>market for sodium chloride, powder</t>
  </si>
  <si>
    <t>market for sodium hydrogen sulfite</t>
  </si>
  <si>
    <t>market for sodium sulfide</t>
  </si>
  <si>
    <t>market for sodium sulfite</t>
  </si>
  <si>
    <t>market for titanium dioxide</t>
  </si>
  <si>
    <t>Elelctricity mix adapted to the RTE scenario</t>
  </si>
  <si>
    <t>iridium</t>
  </si>
  <si>
    <t>Benzo(a)pyrene</t>
  </si>
  <si>
    <t>Carbon dioxide, non-fossil</t>
  </si>
  <si>
    <t>Formaldehyde</t>
  </si>
  <si>
    <t>AOX, Adsorbable Organic Halogen as Cl</t>
  </si>
  <si>
    <t>hydrogen production, gaseous, AEC electrolysis, 30 bar, domestic, RTE2050</t>
  </si>
  <si>
    <t>hydrogen production, gaseous, 25 bar, natural gas SMR w/o CCS</t>
  </si>
  <si>
    <t>Acetaldehyde</t>
  </si>
  <si>
    <t>Acetic acid</t>
  </si>
  <si>
    <t>Pentane</t>
  </si>
  <si>
    <t>Propane</t>
  </si>
  <si>
    <t>Propionic acid</t>
  </si>
  <si>
    <t>market for chemical factory, organics</t>
  </si>
  <si>
    <t>market for copper oxide</t>
  </si>
  <si>
    <t>copper oxide</t>
  </si>
  <si>
    <t>market for liquid storage tank, chemicals, organics</t>
  </si>
  <si>
    <t>liquid storage tank, chemicals, organics</t>
  </si>
  <si>
    <t>market for magnesium oxide</t>
  </si>
  <si>
    <t>magnesium oxide</t>
  </si>
  <si>
    <t>market for portafer</t>
  </si>
  <si>
    <t>portafer</t>
  </si>
  <si>
    <t>market for quicklime, milled, packed</t>
  </si>
  <si>
    <t>quicklime, milled, packed</t>
  </si>
  <si>
    <t>market for zinc oxide</t>
  </si>
  <si>
    <t>zinc oxide</t>
  </si>
  <si>
    <t>hydrogen production, gaseous, 25 bar, natural gas SMR w/ CCS</t>
  </si>
  <si>
    <t>CO2 storage/at H2 production plant, pre, pipeline 400km, storage 3000m</t>
  </si>
  <si>
    <t>market for diethanolamine</t>
  </si>
  <si>
    <t>diethanolamine</t>
  </si>
  <si>
    <t>hydrogen production, gaseous, 26 bar, woody biomass gasification w/o CCS, entrained flow gasifier</t>
  </si>
  <si>
    <t>entrained flow gasifier with dry biomass (wood chips) from Europe as feedstock.</t>
  </si>
  <si>
    <t>Europe without Switzerland-RoW</t>
  </si>
  <si>
    <t>market for wood chips, wet, measured as dry mass</t>
  </si>
  <si>
    <t>wood chips, wet, measured as dry mass</t>
  </si>
  <si>
    <t>synthetic gas factory construction</t>
  </si>
  <si>
    <t>synthetic gas factory</t>
  </si>
  <si>
    <t>treatment of wastewater, average, wastewater treatment</t>
  </si>
  <si>
    <t>wastewater, average</t>
  </si>
  <si>
    <t>hydrogen production, gaseous, 26 bar, woody biomass gasification w/ CCS, entrained flow gasifier</t>
  </si>
  <si>
    <t>CO2 capture and compression in biomass gasification</t>
  </si>
  <si>
    <t>Seperated from total electricity consumption of biomass gadification w/ CCS for calculation.</t>
  </si>
  <si>
    <t>drilling, deep borehole/m</t>
  </si>
  <si>
    <t>l_drilling = (n_injection wells+n_monitoring wells)*storage depth/(lifetime*annual_m_flow)</t>
  </si>
  <si>
    <t>market for gas turbine, 10MW electrical</t>
  </si>
  <si>
    <t>gas turbine, 10MW electrical</t>
  </si>
  <si>
    <t>n_turbine = n_injection wells/(lifetime*annual m_flow)</t>
  </si>
  <si>
    <t>E = 87,85*ln((p_hydrostat+p_over)/p_pipeline)*(m_flow_project*8760h/a)/annual_m_flow</t>
  </si>
  <si>
    <t>transport, pipeline, supercritical CO2, 200km w recompression</t>
  </si>
  <si>
    <t>transport, pipeline, supercritical CO2, 200km w/o recompression</t>
  </si>
  <si>
    <t>tkm = l_no comp*m_flow_project/(m_flow_dataset*1000kg/t)</t>
  </si>
  <si>
    <t>pipeline, supercritical CO2/km</t>
  </si>
  <si>
    <t>kilometer</t>
  </si>
  <si>
    <t>Transformation, to heterogeneous, agricultural</t>
  </si>
  <si>
    <t>gravel and sand quarry operation</t>
  </si>
  <si>
    <t>gravel, round</t>
  </si>
  <si>
    <t>market for stone wool, packed</t>
  </si>
  <si>
    <t>stone wool, packed</t>
  </si>
  <si>
    <t>treatment of inert waste, inert material landfill</t>
  </si>
  <si>
    <t>treatment of waste mineral wool, inert material landfill</t>
  </si>
  <si>
    <t>waste mineral wool, for final disposal</t>
  </si>
  <si>
    <t>Barium</t>
  </si>
  <si>
    <t>Potassium, ion</t>
  </si>
  <si>
    <t>Silicon</t>
  </si>
  <si>
    <t>Strontium</t>
  </si>
  <si>
    <t>Sulfur</t>
  </si>
  <si>
    <t>market for activated bentonite</t>
  </si>
  <si>
    <t>activated bentonite</t>
  </si>
  <si>
    <t>market for barite</t>
  </si>
  <si>
    <t>barite</t>
  </si>
  <si>
    <t>cement production, Portland</t>
  </si>
  <si>
    <t>market for diesel, burned in diesel-electric generating set, 18.5kW</t>
  </si>
  <si>
    <t>diesel, burned in diesel-electric generating set, 18.5kW</t>
  </si>
  <si>
    <t>lignite mine operation</t>
  </si>
  <si>
    <t>lignite</t>
  </si>
  <si>
    <t>treatment of drilling waste, landfarming</t>
  </si>
  <si>
    <t>drilling waste</t>
  </si>
  <si>
    <t>treatment of drilling waste, residual material landfill</t>
  </si>
  <si>
    <t>electricity production, from hydrogen-fired one gigawatt gas turbine, RTE2050</t>
  </si>
  <si>
    <t>H2-fed 1 GW gas turbine used for grid-balancing. Use a CCGT dataset for infrastructure. Capacity: 1000 MW. Capacity factor: 70%. Efficiency (HHV): 51.3%. Yearly production: 6,004,454 MWh.</t>
  </si>
  <si>
    <t>Based on parameters provided by Akito Ozawa, Yuki Kudoh, Naomi Kitagawa, Ryoji Muramatsu, Life cycle CO2 emissions from power generation using hydrogen energy carriers, International Journal of Hydrogen Energy, 2019, https://doi.org/10.1016/j.ijhydene.2019.02.230.</t>
  </si>
  <si>
    <t>gas power plant construction, combined cycle, 400MW electrical</t>
  </si>
  <si>
    <t>gas power plant, combined cycle, 400MW electrical</t>
  </si>
  <si>
    <t>hydrogen storage, for grid-balancing, RTE2050</t>
  </si>
  <si>
    <t>hydrogen, gaseous, 80 bar</t>
  </si>
  <si>
    <t>51.3% HHV efficiency + 0.5% H2 loss</t>
  </si>
  <si>
    <t>9kg H2O/kg H2</t>
  </si>
  <si>
    <t>Assumed similar to NG, although probably a bit higher.</t>
  </si>
  <si>
    <t>Hydrogen loss</t>
  </si>
  <si>
    <t>Hydrogen storage solution, for grid-balancing and subsequent use in a H2-fed gas turbine. Considers hydrogen production from electrolyzer, followed by regional geological storage, and drying. Also includes loss at electrolyzer (0.25%) and a geological storage (1% + 1.3% cushion gas), but only applied to 30% of the mass.</t>
  </si>
  <si>
    <t>Based on LCA of Power-to-X processes and applications in the residential sector, Sacchi and Bauer, 2023 (not yet published). Geological storage dataset from Cristina Wulff et al., 2018.</t>
  </si>
  <si>
    <t>0.25% loss at electrolyzer + 2.3% loss at geological cavity on 30% of the mass stored.</t>
  </si>
  <si>
    <t>geological hydrogen storage, RTE2050</t>
  </si>
  <si>
    <t>hydrogen storage</t>
  </si>
  <si>
    <t>Compression from electrolyzer (30) to geological cavity (100) bar.</t>
  </si>
  <si>
    <t>solution mining for geological hydrogen storage, RTE2050</t>
  </si>
  <si>
    <t>solution mining</t>
  </si>
  <si>
    <t>LCI of solution mining for the future storage of 1 kg of hydrogen. Includes mostly the water demand, the water injection and the brine pumping. We use tap water for now, which is probably wrong. The salt cavern is assumed to be 500,000 m3 large. The available hydrogen amount is 4,000 tons per year, with a lifetime of 40 years, for a total capacity of 6,350 tons per year. Hence the inputs are normalized by 4,000 tons * 40 years. Here are some additional parameters. Water demand 10 m³/m³ (Niquet, 1978), Water demand, total 5,000,000 m³, Capacity pump 570 kW (van Ohlen, 2015), Efficiency pump 76 % (Flowserve, 2015), Pumping rate, water 250 m³/h (van Ohlen, 2015), Time for solution mining 20,000 h, Electricity demand pump 750 kWh/h, Electricity demand, total 15,000 MWh</t>
  </si>
  <si>
    <t>C. Wulf et al. / Journal of Cleaner Production 199 (2018) 431-443</t>
  </si>
  <si>
    <t xml:space="preserve">LCI of storing 1 kg of hydrogen in a salt cavern. Includes only the electricity to inject the hydrogen in, and pump it out. Some additional parameters: Electricity demand compressor 0.240 kWh/kg H2 (Injection pressure for cavern between 85 and 170 bar. On average 44.25 bar difference of pressure). Electricity demand dryer 0.104 kWh/kg H2 (Hydrogen needs to be dried before reinjection into the pipeline). Lifetime 40 a (Noack et al., 2015; Stolzenburg et al., 2014). Inlet pressure cavern 85 bar. Inlet pressure dryer 50 bar. Electricity demand compressor 0.48 kWh/kg H2 (Injection pressure for pipeline from 50 bar (drier) to 100 bar pipeline).
</t>
  </si>
  <si>
    <t>electricity production, hydrogen, RTE2050</t>
  </si>
  <si>
    <t>60% efficiency</t>
  </si>
  <si>
    <t>Hydrogen, gaseous, 25 bar</t>
  </si>
  <si>
    <t>market for electricity, low voltage, RTE2050</t>
  </si>
  <si>
    <t>market for electricity, medium voltage, RTE2050</t>
  </si>
  <si>
    <t>hydrogen production, gaseous, unknown electrolysis, 30 bar, domestic, RTE2050</t>
  </si>
  <si>
    <t>This is a theoretical dataset representing a mix of AEC electrolysis and PEM electrolysis. A 50/50 repartition has been chosen per default</t>
  </si>
  <si>
    <t>hydrogen production, gaseous, 25 bar, biogas SMR w/ CCU</t>
  </si>
  <si>
    <t>CO2 storage and transport 200km pipeline, storage 1000m/2025</t>
  </si>
  <si>
    <t>treatment of used vegetable cooking oil by anaerobic digestion</t>
  </si>
  <si>
    <t>Grandpuit Biorefinnery uses biogas from used cooking oil (No dataset for France in Ecoinvent)</t>
  </si>
  <si>
    <t>I have reused the Carbon Capture Activity created for the biomass gaseification (even though I know that the cryocap technology from Air Liquide does not use ethanolamine solutions)</t>
  </si>
  <si>
    <t>The Grandpuit process does not perform Carbon Sequestration. Therefore, I have only modelled the carbon capture</t>
  </si>
  <si>
    <t>biogas</t>
  </si>
  <si>
    <t>hydrogen, gaseous</t>
  </si>
  <si>
    <t>hydrogen production, gaseous, 25 bar, from methane pyrolysis</t>
  </si>
  <si>
    <t>market value of hydrogen [CHF/kg]</t>
  </si>
  <si>
    <t>market value of black carbon [CHF/kg]</t>
  </si>
  <si>
    <t>allocation factor for hydrogen</t>
  </si>
  <si>
    <t>Infrastructure - membrane</t>
  </si>
  <si>
    <t>market for palladium</t>
  </si>
  <si>
    <t>palladium</t>
  </si>
  <si>
    <t>Infrastructure - heat exchanger</t>
  </si>
  <si>
    <t>Infrastructure - reactor</t>
  </si>
  <si>
    <t>Infrastructure - filter</t>
  </si>
  <si>
    <t>market for silicon carbide</t>
  </si>
  <si>
    <t>silicon carbide</t>
  </si>
  <si>
    <t>Infrastructure - burner</t>
  </si>
  <si>
    <t>market for air compressor, screw-type compressor, 4kW</t>
  </si>
  <si>
    <t>air compressor, screw-type compressor, 4kW</t>
  </si>
  <si>
    <t>Infrastructure - compressor</t>
  </si>
  <si>
    <t>1.7 kWh CNG/kWh H2, according to https://hydrogeneurope.eu/wp-content/uploads/2022/10/ewp_kompakt_pyrolyse_english_web.pdf. 36 MJ/m3 CNG. Hence, 0.17 m3 CNG/kWh H2 and 5.67 m3 CNG/kg H2. Pastels et al. Show 6.57 m3.</t>
  </si>
  <si>
    <t>0.3 kWh/kWh H2 according to https://hydrogeneurope.eu/wp-content/uploads/2022/10/ewp_kompakt_pyrolyse_english_web.pdf</t>
  </si>
  <si>
    <t>Assumed 90% of cooling water is released back.</t>
  </si>
  <si>
    <t>Assumed 10% of cooling water is evaporated.</t>
  </si>
  <si>
    <t>market for transport, freight, lorry, 16-32 metric ton, diesel, EURO 5</t>
  </si>
  <si>
    <t>transport, freight, lorry, 16-32 metric ton, diesel, EURO 5</t>
  </si>
  <si>
    <t>market for disodium disulfite</t>
  </si>
  <si>
    <t>market for chromium trioxide, flakes</t>
  </si>
  <si>
    <t>chromium trioxide, flakes</t>
  </si>
  <si>
    <t>market for transport, freight, train, fleet average</t>
  </si>
  <si>
    <t>transport, freight, train, fleet average</t>
  </si>
  <si>
    <t>market for hydrogen, gaseous, medium pressure, merchant</t>
  </si>
  <si>
    <t>hydrogen, gaseous, medium pressure, merchant</t>
  </si>
  <si>
    <t>market for transport, freight, inland waterways, barge, diesel</t>
  </si>
  <si>
    <t>transport, freight, inland waterways, barge, diesel</t>
  </si>
  <si>
    <t xml:space="preserve"> transport, freight, inland waterways, barge, diesel</t>
  </si>
  <si>
    <t>transport, freight, lorry, diesel, unspecified</t>
  </si>
  <si>
    <t>market group for transport, freight, lorry, diesel, unspecified</t>
  </si>
  <si>
    <t>market group for transport, freight, train, fleet average</t>
  </si>
  <si>
    <t>transport, helicopter, kerosene, LTO cycle</t>
  </si>
  <si>
    <t>transport, helicopter, kerosene</t>
  </si>
  <si>
    <t>market for transport, freight, sea, bulk carrier for dry goods, heavy fuel oil</t>
  </si>
  <si>
    <t>transport, freight, sea, bulk carrier for dry goods, heavy fuel oil</t>
  </si>
  <si>
    <t>GB</t>
  </si>
  <si>
    <t>market for synthetic graphite, battery grade</t>
  </si>
  <si>
    <t>synthetic graphite, battery grade</t>
  </si>
  <si>
    <t>market for tetrafluoroethane, R134a</t>
  </si>
  <si>
    <t>treatment of waste steel, inert material landfill</t>
  </si>
  <si>
    <t>waste steel</t>
  </si>
  <si>
    <t>market for waste steel</t>
  </si>
  <si>
    <t>market for o-phenylene diamine</t>
  </si>
  <si>
    <t>o-phenylene diamine</t>
  </si>
  <si>
    <t>market for limestone, milled, loose</t>
  </si>
  <si>
    <t>limestone, milled, loose</t>
  </si>
  <si>
    <t>market for transport, freight, sea, container ship, heavy fuel oil</t>
  </si>
  <si>
    <t>transport, freight, sea, container ship, heavy fuel oil</t>
  </si>
  <si>
    <t>market for ethylene diamine</t>
  </si>
  <si>
    <t>ethylene diamine</t>
  </si>
  <si>
    <t xml:space="preserve">market for polyvinyl chloride, suspension polymerised </t>
  </si>
  <si>
    <t xml:space="preserve">polyvinyl chloride, suspension polymerised </t>
  </si>
  <si>
    <t>market for polyvinyl chloride, suspension polymerised</t>
  </si>
  <si>
    <t>polyvinyl chloride, suspension polymerised</t>
  </si>
  <si>
    <t>market for polyvinyl chloride, emulsion polymerised </t>
  </si>
  <si>
    <t>polyvinyl chloride, emulsion polymerised </t>
  </si>
  <si>
    <t>market for xylene, mixed</t>
  </si>
  <si>
    <t>xylene, mixed</t>
  </si>
  <si>
    <t>treatment of municipal solid waste, municipal incineration FAE</t>
  </si>
  <si>
    <t>market for electric arc furnace</t>
  </si>
  <si>
    <t>electric arc furnace</t>
  </si>
  <si>
    <t>market for n-butanol</t>
  </si>
  <si>
    <t>n-butanol</t>
  </si>
  <si>
    <t>1,1,1-Trichloroethane</t>
  </si>
  <si>
    <t>Chlorodifluoromethane</t>
  </si>
  <si>
    <t>Hexachlorobenzene</t>
  </si>
  <si>
    <t>Pentachlorobenzene</t>
  </si>
  <si>
    <t>Difluoromethane</t>
  </si>
  <si>
    <t>Dichloromethane</t>
  </si>
  <si>
    <t>Iron</t>
  </si>
  <si>
    <t>market for polyvinyl chloride, unspecified polymerisation, weighted average</t>
  </si>
  <si>
    <t>polyvinyl chloride, unspecified polymerisation, weighted average</t>
  </si>
  <si>
    <t>polyvinyl chloride, unspecified polymerisation, weighted average, at plant U</t>
  </si>
  <si>
    <t>market for water, ultrapure</t>
  </si>
  <si>
    <t>water, ultrapure</t>
  </si>
  <si>
    <t>5% loss rate. From Cooper et al. 2022-Table 1</t>
  </si>
  <si>
    <t xml:space="preserve">Value manually added. Approx. 15% of Hydrogen produced is vented (Eurochlor) https://www.eurochlor.org/wp-content/uploads/2024/04/FOCS-13-Hydrogen.pdf </t>
  </si>
  <si>
    <t>Stack, 5.5 years lifetime. Min-max: 15-25 years system lifetime, from the IndWEDe report.</t>
  </si>
  <si>
    <t>BoP, 20 years lifetime. Min-max: 15-25 years system lifetime, from the IndWEDe report.</t>
  </si>
  <si>
    <t>treatment of electrolyzer stack, 1MWe, PEM</t>
  </si>
  <si>
    <t>used electrolyzer stack, 1MWe, PEM</t>
  </si>
  <si>
    <t>Stack EoL</t>
  </si>
  <si>
    <t>treatment of electrolyzer balance of plant, 1MWe, PEM</t>
  </si>
  <si>
    <t>used electrolyzer balance of plant, 1MWe, PEM</t>
  </si>
  <si>
    <t>BoP EoL</t>
  </si>
  <si>
    <t xml:space="preserve">A perfect reaction of H2O results in 1 kg H2 and 8 kg O2, and needs 9 kg H2O, however, considering some losses we assume 14 kg H2O (Simoes et al., 2021). </t>
  </si>
  <si>
    <t>Electrolyser land footprint: (0.09 [m2/kW]*1000[kW/MW])/(2963200[kg H2 per lifetime]/20[years])</t>
  </si>
  <si>
    <t>Electrolyser land transformation: (0.09 [m2/kW]*1000 [kW/MW])/2963200 [kg H2]</t>
  </si>
  <si>
    <t>end plate</t>
  </si>
  <si>
    <t>bipolar plate</t>
  </si>
  <si>
    <t>membrane polymer</t>
  </si>
  <si>
    <t>market for carbon black</t>
  </si>
  <si>
    <t>carbon black</t>
  </si>
  <si>
    <t>electrocatalyst anode</t>
  </si>
  <si>
    <t>platinum group metal, extraction and refinery operations</t>
  </si>
  <si>
    <t>electrocatalyst cathode. 0.75kg Pt/MWe.</t>
  </si>
  <si>
    <t>electrocatalyst cathode</t>
  </si>
  <si>
    <t>current collector</t>
  </si>
  <si>
    <t>bolts and screws</t>
  </si>
  <si>
    <t>gasket</t>
  </si>
  <si>
    <t>assembly energy</t>
  </si>
  <si>
    <t>market for waste plastic, mixture</t>
  </si>
  <si>
    <t>market for waste rubber, unspecified</t>
  </si>
  <si>
    <t>waste rubber, unspecified</t>
  </si>
  <si>
    <t>power electronics (rectifier, voltage adaption)</t>
  </si>
  <si>
    <t>control panels/electronics</t>
  </si>
  <si>
    <t>tubing and pump</t>
  </si>
  <si>
    <t>steel construction element</t>
  </si>
  <si>
    <t>Purification (De-Oxo) &amp; water treatment</t>
  </si>
  <si>
    <t>water-gas separator</t>
  </si>
  <si>
    <t>valve</t>
  </si>
  <si>
    <t>back-pressure regulator</t>
  </si>
  <si>
    <t>ion exchanger</t>
  </si>
  <si>
    <t>heat exchanger</t>
  </si>
  <si>
    <t>water purifier and feed tank</t>
  </si>
  <si>
    <t>frequency converter, diaphragm compressor</t>
  </si>
  <si>
    <t>diaphragm for diaphragm compressor</t>
  </si>
  <si>
    <t>container with pipes and fittings for compressor</t>
  </si>
  <si>
    <t>buffer tank</t>
  </si>
  <si>
    <t>container</t>
  </si>
  <si>
    <t>foundation concrete</t>
  </si>
  <si>
    <t>treatment of waste reinforcement steel, sorting plant</t>
  </si>
  <si>
    <t>waste reinforcement steel</t>
  </si>
  <si>
    <t>market for waste plastic, industrial electronics</t>
  </si>
  <si>
    <t>waste plastic, industrial electronics</t>
  </si>
  <si>
    <t>treatment of scrap printed wiring boards, shredding and separation</t>
  </si>
  <si>
    <t>used printed wiring boards</t>
  </si>
  <si>
    <t>treatment of waste polyethylene/polypropylene product, collection for final disposal</t>
  </si>
  <si>
    <t>waste polyethylene/polypropylene product</t>
  </si>
  <si>
    <t>treatment of waste bulk iron, excluding reinforcement, sorting plant</t>
  </si>
  <si>
    <t>waste bulk iron, excluding reinforcement</t>
  </si>
  <si>
    <t>market for waste concrete, not reinforced</t>
  </si>
  <si>
    <t>waste concrete, not reinforced</t>
  </si>
  <si>
    <t>treatment of waste zeolite, inert material landfill</t>
  </si>
  <si>
    <t>waste zeolite</t>
  </si>
  <si>
    <t>ecoinvent 3.11 cutoff</t>
  </si>
  <si>
    <t>Stack, 7 years lifetime. Min-max: 22.5-32.5 years system lifetime, from the IndWEDe report.</t>
  </si>
  <si>
    <t>BoP, 27.5 years lifetime. Min-max: 22.5-32.5 years system lifetime, from the IndWEDe report.</t>
  </si>
  <si>
    <t>treatment of electrolyzer stack, 1MWe, AEC</t>
  </si>
  <si>
    <t>used electrolyzer stack, 1MWe, AEC</t>
  </si>
  <si>
    <t>treatment of electrolyzer balance of plant, 1MWe, AEC</t>
  </si>
  <si>
    <t>used electrolyzer balance of plant, 1MWe, AEC</t>
  </si>
  <si>
    <t>KOH input</t>
  </si>
  <si>
    <t>Electrolyser land footprint: (0.12 [m2/kW]*1000[kW/MW])/(4259200[kg H2 per lifetime]/27.5[years])</t>
  </si>
  <si>
    <t>Electrolyser land transformation: (0.12 [m2/kW]*1000 [kW/MW])/4259200 [kg H2]</t>
  </si>
  <si>
    <t>anode and cathode with frame</t>
  </si>
  <si>
    <t>diaphragm, zirfon</t>
  </si>
  <si>
    <t>hydrogen dryer and de-oxidizer</t>
  </si>
  <si>
    <t>tubing and cables</t>
  </si>
  <si>
    <t>water cooling plant for electrolyzer</t>
  </si>
  <si>
    <t>pumps and coolers</t>
  </si>
  <si>
    <t>gas separator</t>
  </si>
  <si>
    <t>steel tank for KOH</t>
  </si>
  <si>
    <t>alkali-resistant rotary pump</t>
  </si>
  <si>
    <t>storage tank</t>
  </si>
  <si>
    <t>Copied from PREMISE additional Inventories --- 1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</si>
  <si>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Copied from PREMISE additional Inventories --- 1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t>
  </si>
  <si>
    <t>Copied from PREMISE additional Inventories --- 1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  Values have already been multiplied by 3 to reflect 2 stack replacements over 20 years of use.</t>
  </si>
  <si>
    <t>Copied from PREMISE additional Inventories --- 1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t>
  </si>
  <si>
    <t>Adapted from PREMISE additional inventories --- Electricity mix set to the France (RTE) || Electricity consumption from Magnaval et al. 2025 https://doi.org/10.5281/zenodo.17428316 (33.3 kWh electricity stored in H2 + 30.4 kWh electricity lossed by stack efficiency + 6.0 kWh consummed by the Balance of Plant) || Background dataset for water consumption : "market for water ultrapure" || Hydrogen leakage from Cooper et al. 2021</t>
  </si>
  <si>
    <t>Adapted from PREMISE additional inventories --- Electricity mix set to the France (RTE) || Electricity consumption from Magnaval et al. 2025 https://doi.org/10.5281/zenodo.17428316 (33.3 kWh electricity stored in H2 + 29.8 kWh electricity lossed by stack efficiency + 5.8 kWh consummed by the Balance of Plant) || Background dataset for water consumption : "market for water ultrapure" || Hydrogen leakage from Cooper et al. 2021</t>
  </si>
  <si>
    <t>market for waste aluminium</t>
  </si>
  <si>
    <t>waste aluminium</t>
  </si>
  <si>
    <t>market for waste copper</t>
  </si>
  <si>
    <t>waste copper</t>
  </si>
  <si>
    <t>electrolyzer, PEM, Stack</t>
  </si>
  <si>
    <t>electrolyzer, PEM, Balance of Plant</t>
  </si>
  <si>
    <t>electrolyzer, AE, Stack</t>
  </si>
  <si>
    <t>electrolyzer, AE, Balance of Plant</t>
  </si>
  <si>
    <t xml:space="preserve">Cooling water from IRENA and Bluerisk (2023), Water for hydrogen production, International Renewable Energy Agency, 
Bluerisk, Abu Dhabi, United Arab Emirates. </t>
  </si>
  <si>
    <t>Adapted from PREMISE additional inventories --- Electricity and Natural Gas have been adapted to the French Region ||| Antonini, C., Treyer, K., Streb, A., van der Spek, M., Bauer, C., &amp; Mazzotti, M. (2020). Hydrogen production from natural gas and biomethane with carbon capture and storage – A techno-environmental analysis. Sustainable Energy &amp; Fuels, 4(6), 2967-2986. doi:10.1039/D0SE00222D</t>
  </si>
  <si>
    <t>Adapted from PREMISE additional inventories --- Electricity and Natural Gas have been adapted to the French Region |||Antonini, C., Treyer, K., Streb, A., van der Spek, M., Bauer, C., &amp; Mazzotti, M. (2020). Hydrogen production from natural gas and biomethane with carbon capture and storage – A techno-environmental analysis. Sustainable Energy &amp; Fuels, 4(6), 2967-2986. doi:10.1039/D0SE00222D</t>
  </si>
  <si>
    <t>Adapted from PREMISE additional inventories --- Electricity has been adapted to the French Region  || This dataset represents the particular flow for The Grandpuit installation 'SMR of Biogas with CCU' ||| Antonini, C., Treyer, K., Streb, A., van der Spek, M., Bauer, C., &amp; Mazzotti, M. (2020). Hydrogen production from natural gas and biomethane with carbon capture and storage – A techno-environmental analysis. Sustainable Energy &amp; Fuels, 4(6), 2967-2986. doi:10.1039/D0SE00222D</t>
  </si>
  <si>
    <t>Adapted from PREMISE additional inventories --- Electricity has been adapted to the French Region |||Antonini, C., Treyer, K., Moioli, E., Bauer, C., Schildhauer, T. J., &amp; Mazzotti, M. (2021). Hydrogen from wood gasification with CCS – a techno-environmental analysis of production and use as transport fuel. Sustainable Energy &amp; Fuels, 5(10), 2602-2621. doi:10.1039/D0SE01637C</t>
  </si>
  <si>
    <t>Adapted from PREMISE additional inventories --- Electricity has been adapted to the French Region ||| Antonini, C., Treyer, K., Moioli, E., Bauer, C., Schildhauer, T. J., &amp; Mazzotti, M. (2021). Hydrogen from wood gasification with CCS – a techno-environmental analysis of production and use as transport fuel. Sustainable Energy &amp; Fuels, 5(10), 2602-2621. doi:10.1039/D0SE01637C</t>
  </si>
  <si>
    <t>Adapted from PREMISE additional inventories --- Electricity has been adapted to the French Region ||| Life cycle assessment of carbon capture and storage in power generation and industry in Europe, Volkart et al., 2013, International Journal of Greenhouse Gas Control</t>
  </si>
  <si>
    <t>Adapted from PREMISE additional inventories --- Electricity and Natural Gas have been adapted to the French Region |||. Pyrolysis processes decompose hydrocarbons into solid carbon and hydrogen at high temperatures (thermally or biologicalally). As no oxygen is present, no carbon oxides are formed, potentially eliminating the need for secondary processing steps such as the WGSR. The higher H2 concentration of the product gas stream also has considerable potential for minimising downstream clean-up processes. From a carbon-storage perspective, pyrolysis processes offer the advantage of storing a solid C-product as opposed to gaseous CO2. There is an allocation between the production of hydrogen and black carbon, based on their respective market value -- see Von Wald et al. 2020 for black carbon, and Florian Wirth, Green Hydrogen Production for Heavy-Duty Trucks, 2021, for hydrogen price in Switzerland. Source: Amjad Al-Qahtani, Brett Parkinson, Klaus Hellgardt, Nilay Shah, Gonzalo Guillen-Gosalbez, Uncovering the true cost of hydrogen production routes using life cycle monetisation, Applied Energy, 2021, https://doi.org/10.1016/j.apenergy.2020.115958.
The energy required is from DOI:10.1002/ceat.201600023. For pyrolysis, it can be provided both electrically and by burning some of the natural gas or pyrolysis products. For the comparison of technologies, electrical resistance heating is assumed, as use of this type of heating is deemed to be most practicable. The power requirement of 7.23 MWhel/ton H2 is based on thermodynamic calculations. These take into account both the energy losses during heat recovery and the compression power of 1 MWhel/ton H2, to compress pyrolysis hydrogen from 2 bar to 30 bar [https://www.hydrogen.energy.gov/docs/hydrogenprogramlibraries/pdfs/9013_energy_requirements_for_hydrogen_gas_compression.pdf?Status=Master]. Inventories consolidated with numbers for infrastructures from Appendix A1 from Postels et al., 2016 https://doi.org/10.1016/j.ijhydene.2016.09.167. Missing input of quartz for reactor, as unavailable in ecoinvent.</t>
  </si>
  <si>
    <t>Adapted from the ecoinvent 3.10 database --- Electricity has been modified to the French Region</t>
  </si>
  <si>
    <t>Adapted from the ecoinvent 3.10 database --- Electricity and Natural Gas have been modified to the French Region || 15 % of Hydrogen venting has been considered (EuroChlor) https://www.eurochlor.org/wp-content/uploads/2024/04/FOCS-13-Hydrogen.pdf  || Moreover I have deleted the exchange "market for hydrogen, gaseous, low pressure"</t>
  </si>
  <si>
    <t>From Magnaval et al. 2025 https://doi.org/10.5281/zenodo.17428316 --&gt; 33.3 kWh electricity stored in H2 + 30.4 kWh electricity lost by stack efficiency + 6.0 kWh consumed by the Balance of Plant</t>
  </si>
  <si>
    <t>From Magnaval et al. 2025 https://doi.org/10.5281/zenodo.17428316 --&gt; 33.3 kWh electricity stored in H2 + 29.8 kWh electricity lost by stack efficiency + 5.8 kWh consumed by the Balance of Plant</t>
  </si>
  <si>
    <t>lci_H2FR_RTE2050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</si>
</sst>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0"/>
  </numFmts>
  <fonts count="4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2"/>
      <color theme="1"/>
      <name val="Calibri"/>
      <family val="2"/>
      <scheme val="minor"/>
    </font>
    <font>
      <sz val="12"/>
      <color indexed="8"/>
      <name val="Calibri"/>
      <family val="2"/>
      <scheme val="minor"/>
    </font>
    <font>
      <b/>
      <sz val="12"/>
      <color indexed="8"/>
      <name val="Calibri"/>
      <family val="2"/>
      <scheme val="minor"/>
    </font>
    <font>
      <sz val="8"/>
      <name val="Calibri"/>
      <family val="2"/>
      <scheme val="minor"/>
    </font>
    <font>
      <i/>
      <sz val="11"/>
      <color theme="1"/>
      <name val="Calibri"/>
      <family val="2"/>
      <scheme val="minor"/>
    </font>
    <font>
      <sz val="7"/>
      <color theme="1"/>
      <name val="Calibri"/>
      <family val="2"/>
      <scheme val="minor"/>
    </font>
    <font>
      <sz val="12"/>
      <color rgb="FF000000"/>
      <name val="Calibri"/>
      <family val="2"/>
      <scheme val="minor"/>
    </font>
    <font>
      <sz val="10"/>
      <color theme="1"/>
      <name val="Arial Unicode MS"/>
      <family val="2"/>
    </font>
    <font>
      <b/>
      <sz val="12"/>
      <name val="Calibri (Body)"/>
    </font>
    <font>
      <sz val="12"/>
      <name val="Calibri (Body)"/>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sz val="12"/>
      <color theme="0"/>
      <name val="Calibri"/>
      <family val="2"/>
      <scheme val="minor"/>
    </font>
    <font>
      <sz val="11"/>
      <color rgb="FF9C5700"/>
      <name val="Calibri"/>
      <family val="2"/>
      <scheme val="minor"/>
    </font>
    <font>
      <sz val="12"/>
      <name val="Calibri"/>
      <family val="2"/>
      <scheme val="minor"/>
    </font>
    <font>
      <b/>
      <sz val="12"/>
      <name val="Calibri"/>
      <family val="2"/>
      <scheme val="minor"/>
    </font>
  </fonts>
  <fills count="43">
    <fill>
      <patternFill patternType="none"/>
    </fill>
    <fill>
      <patternFill patternType="gray125"/>
    </fill>
    <fill>
      <patternFill patternType="solid">
        <fgColor rgb="FFFFEB9C"/>
      </patternFill>
    </fill>
    <fill>
      <patternFill patternType="solid">
        <fgColor theme="4" tint="0.79998168889431442"/>
        <bgColor indexed="64"/>
      </patternFill>
    </fill>
    <fill>
      <patternFill patternType="solid">
        <fgColor rgb="FFFFFF00"/>
        <bgColor indexed="64"/>
      </patternFill>
    </fill>
    <fill>
      <patternFill patternType="solid">
        <fgColor theme="9"/>
        <bgColor indexed="64"/>
      </patternFill>
    </fill>
    <fill>
      <patternFill patternType="solid">
        <fgColor theme="7"/>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C000"/>
        <bgColor indexed="64"/>
      </patternFill>
    </fill>
    <fill>
      <patternFill patternType="solid">
        <fgColor them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1">
    <border>
      <left/>
      <right/>
      <top/>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12" fillId="0" borderId="0"/>
    <xf numFmtId="0" fontId="12" fillId="0" borderId="0"/>
    <xf numFmtId="0" fontId="9" fillId="0" borderId="0"/>
    <xf numFmtId="9" fontId="9" fillId="0" borderId="0" applyFont="0" applyFill="0" applyBorder="0" applyAlignment="0" applyProtection="0"/>
    <xf numFmtId="0" fontId="27" fillId="0" borderId="0" applyNumberFormat="0" applyFill="0" applyBorder="0" applyAlignment="0" applyProtection="0"/>
    <xf numFmtId="0" fontId="28" fillId="0" borderId="2" applyNumberFormat="0" applyFill="0" applyAlignment="0" applyProtection="0"/>
    <xf numFmtId="0" fontId="29" fillId="0" borderId="3" applyNumberFormat="0" applyFill="0" applyAlignment="0" applyProtection="0"/>
    <xf numFmtId="0" fontId="30" fillId="0" borderId="4" applyNumberFormat="0" applyFill="0" applyAlignment="0" applyProtection="0"/>
    <xf numFmtId="0" fontId="30" fillId="0" borderId="0" applyNumberFormat="0" applyFill="0" applyBorder="0" applyAlignment="0" applyProtection="0"/>
    <xf numFmtId="0" fontId="17" fillId="12" borderId="9" applyNumberFormat="0" applyFont="0" applyAlignment="0" applyProtection="0"/>
    <xf numFmtId="0" fontId="31" fillId="7" borderId="0" applyNumberFormat="0" applyBorder="0" applyAlignment="0" applyProtection="0"/>
    <xf numFmtId="0" fontId="32" fillId="8" borderId="0" applyNumberFormat="0" applyBorder="0" applyAlignment="0" applyProtection="0"/>
    <xf numFmtId="0" fontId="33" fillId="2" borderId="0" applyNumberFormat="0" applyBorder="0" applyAlignment="0" applyProtection="0"/>
    <xf numFmtId="0" fontId="34" fillId="9" borderId="5" applyNumberFormat="0" applyAlignment="0" applyProtection="0"/>
    <xf numFmtId="0" fontId="35" fillId="10" borderId="6" applyNumberFormat="0" applyAlignment="0" applyProtection="0"/>
    <xf numFmtId="0" fontId="36" fillId="10" borderId="5" applyNumberFormat="0" applyAlignment="0" applyProtection="0"/>
    <xf numFmtId="0" fontId="37" fillId="0" borderId="7" applyNumberFormat="0" applyFill="0" applyAlignment="0" applyProtection="0"/>
    <xf numFmtId="0" fontId="38" fillId="11" borderId="8"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13" fillId="0" borderId="10" applyNumberFormat="0" applyFill="0" applyAlignment="0" applyProtection="0"/>
    <xf numFmtId="0" fontId="41"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41"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41"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41"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41"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41" fillId="33"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9" fontId="17" fillId="0" borderId="0" applyFont="0" applyFill="0" applyBorder="0" applyAlignment="0" applyProtection="0"/>
    <xf numFmtId="0" fontId="42" fillId="2" borderId="0" applyNumberFormat="0" applyBorder="0" applyAlignment="0" applyProtection="0"/>
  </cellStyleXfs>
  <cellXfs count="107">
    <xf numFmtId="0" fontId="0" fillId="0" borderId="0" xfId="0"/>
    <xf numFmtId="0" fontId="13" fillId="0" borderId="0" xfId="0" applyFont="1"/>
    <xf numFmtId="16" fontId="0" fillId="0" borderId="0" xfId="0" applyNumberFormat="1"/>
    <xf numFmtId="9" fontId="0" fillId="0" borderId="0" xfId="0" applyNumberFormat="1"/>
    <xf numFmtId="10" fontId="0" fillId="0" borderId="0" xfId="0" applyNumberFormat="1"/>
    <xf numFmtId="11" fontId="0" fillId="0" borderId="0" xfId="0" applyNumberFormat="1"/>
    <xf numFmtId="0" fontId="0" fillId="0" borderId="1" xfId="0" applyBorder="1"/>
    <xf numFmtId="0" fontId="14" fillId="0" borderId="0" xfId="1" applyFont="1"/>
    <xf numFmtId="0" fontId="12" fillId="0" borderId="0" xfId="1"/>
    <xf numFmtId="0" fontId="12" fillId="0" borderId="0" xfId="0" applyFont="1"/>
    <xf numFmtId="0" fontId="15" fillId="3" borderId="0" xfId="0" applyFont="1" applyFill="1"/>
    <xf numFmtId="11" fontId="16" fillId="0" borderId="0" xfId="0" applyNumberFormat="1" applyFont="1"/>
    <xf numFmtId="0" fontId="12" fillId="0" borderId="0" xfId="2"/>
    <xf numFmtId="0" fontId="15" fillId="0" borderId="0" xfId="0" applyFont="1"/>
    <xf numFmtId="0" fontId="15" fillId="0" borderId="1" xfId="0" applyFont="1" applyBorder="1"/>
    <xf numFmtId="11" fontId="0" fillId="0" borderId="0" xfId="1" applyNumberFormat="1" applyFont="1" applyAlignment="1">
      <alignment horizontal="left"/>
    </xf>
    <xf numFmtId="0" fontId="16" fillId="0" borderId="0" xfId="0" applyFont="1"/>
    <xf numFmtId="0" fontId="16" fillId="0" borderId="1" xfId="0" applyFont="1" applyBorder="1"/>
    <xf numFmtId="0" fontId="12" fillId="0" borderId="1" xfId="2" applyBorder="1"/>
    <xf numFmtId="0" fontId="0" fillId="0" borderId="1" xfId="2" applyFont="1" applyBorder="1"/>
    <xf numFmtId="0" fontId="0" fillId="0" borderId="0" xfId="2" applyFont="1"/>
    <xf numFmtId="164" fontId="0" fillId="0" borderId="0" xfId="0" applyNumberFormat="1"/>
    <xf numFmtId="11" fontId="18" fillId="0" borderId="0" xfId="0" applyNumberFormat="1" applyFont="1"/>
    <xf numFmtId="11" fontId="19" fillId="0" borderId="0" xfId="0" applyNumberFormat="1" applyFont="1"/>
    <xf numFmtId="0" fontId="11" fillId="0" borderId="0" xfId="1" applyFont="1"/>
    <xf numFmtId="11" fontId="17" fillId="0" borderId="0" xfId="1" applyNumberFormat="1" applyFont="1" applyAlignment="1">
      <alignment horizontal="left"/>
    </xf>
    <xf numFmtId="0" fontId="17" fillId="0" borderId="0" xfId="1" applyFont="1"/>
    <xf numFmtId="0" fontId="0" fillId="4" borderId="0" xfId="0" applyFill="1"/>
    <xf numFmtId="0" fontId="14" fillId="0" borderId="0" xfId="0" applyFont="1"/>
    <xf numFmtId="0" fontId="10" fillId="0" borderId="0" xfId="0" applyFont="1"/>
    <xf numFmtId="2" fontId="10" fillId="0" borderId="0" xfId="0" applyNumberFormat="1" applyFont="1"/>
    <xf numFmtId="0" fontId="21" fillId="0" borderId="0" xfId="0" applyFont="1"/>
    <xf numFmtId="11" fontId="10" fillId="0" borderId="0" xfId="0" applyNumberFormat="1" applyFont="1"/>
    <xf numFmtId="0" fontId="23" fillId="0" borderId="0" xfId="0" applyFont="1"/>
    <xf numFmtId="0" fontId="9" fillId="0" borderId="0" xfId="3"/>
    <xf numFmtId="11" fontId="9" fillId="0" borderId="0" xfId="3" applyNumberFormat="1"/>
    <xf numFmtId="0" fontId="14" fillId="0" borderId="0" xfId="3" applyFont="1"/>
    <xf numFmtId="0" fontId="9" fillId="0" borderId="0" xfId="3" applyAlignment="1">
      <alignment wrapText="1"/>
    </xf>
    <xf numFmtId="9" fontId="0" fillId="0" borderId="0" xfId="4" applyFont="1"/>
    <xf numFmtId="0" fontId="9" fillId="0" borderId="0" xfId="3" applyAlignment="1">
      <alignment vertical="center" wrapText="1"/>
    </xf>
    <xf numFmtId="0" fontId="8" fillId="0" borderId="0" xfId="3" applyFont="1"/>
    <xf numFmtId="0" fontId="7" fillId="0" borderId="0" xfId="3" applyFont="1"/>
    <xf numFmtId="0" fontId="24" fillId="0" borderId="0" xfId="0" applyFont="1" applyAlignment="1">
      <alignment horizontal="left" vertical="center"/>
    </xf>
    <xf numFmtId="11" fontId="25" fillId="0" borderId="0" xfId="0" applyNumberFormat="1" applyFont="1"/>
    <xf numFmtId="0" fontId="26" fillId="0" borderId="0" xfId="1" applyFont="1"/>
    <xf numFmtId="0" fontId="25" fillId="0" borderId="0" xfId="0" applyFont="1"/>
    <xf numFmtId="0" fontId="25" fillId="0" borderId="0" xfId="2" applyFont="1"/>
    <xf numFmtId="0" fontId="6" fillId="0" borderId="0" xfId="0" applyFont="1"/>
    <xf numFmtId="0" fontId="0" fillId="5" borderId="0" xfId="0" applyFill="1"/>
    <xf numFmtId="0" fontId="0" fillId="6" borderId="0" xfId="0" applyFill="1"/>
    <xf numFmtId="0" fontId="5" fillId="0" borderId="0" xfId="0" applyFont="1"/>
    <xf numFmtId="0" fontId="0" fillId="37" borderId="0" xfId="0" applyFill="1"/>
    <xf numFmtId="0" fontId="0" fillId="3" borderId="0" xfId="0" applyFill="1"/>
    <xf numFmtId="164" fontId="0" fillId="3" borderId="0" xfId="0" applyNumberFormat="1" applyFill="1"/>
    <xf numFmtId="2" fontId="0" fillId="0" borderId="0" xfId="0" applyNumberFormat="1"/>
    <xf numFmtId="0" fontId="5" fillId="0" borderId="0" xfId="1" applyFont="1"/>
    <xf numFmtId="0" fontId="0" fillId="38" borderId="0" xfId="0" applyFill="1"/>
    <xf numFmtId="0" fontId="26" fillId="0" borderId="0" xfId="0" applyFont="1"/>
    <xf numFmtId="0" fontId="4" fillId="0" borderId="0" xfId="0" applyFont="1"/>
    <xf numFmtId="0" fontId="3" fillId="0" borderId="0" xfId="0" applyFont="1"/>
    <xf numFmtId="0" fontId="2" fillId="0" borderId="0" xfId="0" applyFont="1"/>
    <xf numFmtId="0" fontId="2" fillId="0" borderId="0" xfId="3" applyFont="1"/>
    <xf numFmtId="2" fontId="26" fillId="0" borderId="0" xfId="0" applyNumberFormat="1" applyFont="1"/>
    <xf numFmtId="2" fontId="13" fillId="0" borderId="0" xfId="0" applyNumberFormat="1" applyFont="1"/>
    <xf numFmtId="0" fontId="43" fillId="0" borderId="0" xfId="0" applyFont="1"/>
    <xf numFmtId="2" fontId="26" fillId="0" borderId="0" xfId="2" applyNumberFormat="1" applyFont="1"/>
    <xf numFmtId="0" fontId="26" fillId="3" borderId="0" xfId="0" applyFont="1" applyFill="1"/>
    <xf numFmtId="0" fontId="44" fillId="0" borderId="0" xfId="1" applyFont="1"/>
    <xf numFmtId="11" fontId="44" fillId="0" borderId="0" xfId="0" applyNumberFormat="1" applyFont="1"/>
    <xf numFmtId="0" fontId="43" fillId="0" borderId="0" xfId="2" applyFont="1"/>
    <xf numFmtId="2" fontId="43" fillId="0" borderId="0" xfId="0" applyNumberFormat="1" applyFont="1"/>
    <xf numFmtId="0" fontId="43" fillId="0" borderId="0" xfId="1" applyFont="1"/>
    <xf numFmtId="11" fontId="43" fillId="0" borderId="0" xfId="1" applyNumberFormat="1" applyFont="1" applyAlignment="1">
      <alignment horizontal="left"/>
    </xf>
    <xf numFmtId="11" fontId="43" fillId="0" borderId="0" xfId="47" applyNumberFormat="1" applyFont="1" applyFill="1"/>
    <xf numFmtId="11" fontId="43" fillId="0" borderId="0" xfId="0" applyNumberFormat="1" applyFont="1"/>
    <xf numFmtId="0" fontId="44" fillId="0" borderId="0" xfId="0" applyFont="1"/>
    <xf numFmtId="0" fontId="17" fillId="0" borderId="0" xfId="0" applyFont="1"/>
    <xf numFmtId="2" fontId="17" fillId="0" borderId="0" xfId="0" applyNumberFormat="1" applyFont="1"/>
    <xf numFmtId="11" fontId="17" fillId="0" borderId="0" xfId="0" applyNumberFormat="1" applyFont="1"/>
    <xf numFmtId="0" fontId="43" fillId="0" borderId="0" xfId="47" applyFont="1" applyFill="1"/>
    <xf numFmtId="0" fontId="43" fillId="0" borderId="0" xfId="47" applyFont="1" applyFill="1" applyBorder="1"/>
    <xf numFmtId="0" fontId="43" fillId="0" borderId="0" xfId="47" applyFont="1" applyFill="1" applyAlignment="1"/>
    <xf numFmtId="11" fontId="43" fillId="0" borderId="0" xfId="47" applyNumberFormat="1" applyFont="1" applyFill="1" applyAlignment="1"/>
    <xf numFmtId="0" fontId="43" fillId="3" borderId="0" xfId="0" applyFont="1" applyFill="1"/>
    <xf numFmtId="0" fontId="44" fillId="0" borderId="0" xfId="2" applyFont="1"/>
    <xf numFmtId="11" fontId="43" fillId="3" borderId="0" xfId="0" applyNumberFormat="1" applyFont="1" applyFill="1"/>
    <xf numFmtId="2" fontId="43" fillId="0" borderId="0" xfId="1" applyNumberFormat="1" applyFont="1" applyAlignment="1">
      <alignment wrapText="1"/>
    </xf>
    <xf numFmtId="2" fontId="43" fillId="0" borderId="0" xfId="2" quotePrefix="1" applyNumberFormat="1" applyFont="1"/>
    <xf numFmtId="2" fontId="43" fillId="0" borderId="0" xfId="2" applyNumberFormat="1" applyFont="1"/>
    <xf numFmtId="0" fontId="43" fillId="0" borderId="1" xfId="2" applyFont="1" applyBorder="1"/>
    <xf numFmtId="0" fontId="43" fillId="0" borderId="0" xfId="0" applyFont="1" applyAlignment="1">
      <alignment horizontal="left" vertical="center"/>
    </xf>
    <xf numFmtId="11" fontId="43" fillId="0" borderId="0" xfId="2" applyNumberFormat="1" applyFont="1"/>
    <xf numFmtId="0" fontId="43" fillId="3" borderId="0" xfId="2" applyFont="1" applyFill="1"/>
    <xf numFmtId="11" fontId="43" fillId="39" borderId="0" xfId="1" applyNumberFormat="1" applyFont="1" applyFill="1" applyAlignment="1">
      <alignment horizontal="left"/>
    </xf>
    <xf numFmtId="0" fontId="44" fillId="40" borderId="0" xfId="1" applyFont="1" applyFill="1"/>
    <xf numFmtId="11" fontId="43" fillId="41" borderId="0" xfId="1" applyNumberFormat="1" applyFont="1" applyFill="1" applyAlignment="1">
      <alignment horizontal="left"/>
    </xf>
    <xf numFmtId="0" fontId="43" fillId="6" borderId="0" xfId="0" applyFont="1" applyFill="1"/>
    <xf numFmtId="0" fontId="43" fillId="37" borderId="0" xfId="1" applyFont="1" applyFill="1"/>
    <xf numFmtId="2" fontId="43" fillId="0" borderId="0" xfId="1" applyNumberFormat="1" applyFont="1" applyAlignment="1">
      <alignment horizontal="left"/>
    </xf>
    <xf numFmtId="9" fontId="43" fillId="0" borderId="0" xfId="46" applyFont="1" applyAlignment="1">
      <alignment horizontal="left"/>
    </xf>
    <xf numFmtId="0" fontId="43" fillId="38" borderId="0" xfId="1" applyFont="1" applyFill="1"/>
    <xf numFmtId="11" fontId="43" fillId="38" borderId="0" xfId="1" applyNumberFormat="1" applyFont="1" applyFill="1" applyAlignment="1">
      <alignment horizontal="left"/>
    </xf>
    <xf numFmtId="165" fontId="43" fillId="0" borderId="0" xfId="0" applyNumberFormat="1" applyFont="1"/>
    <xf numFmtId="11" fontId="43" fillId="6" borderId="0" xfId="0" applyNumberFormat="1" applyFont="1" applyFill="1"/>
    <xf numFmtId="165" fontId="43" fillId="0" borderId="0" xfId="0" applyNumberFormat="1" applyFont="1" applyAlignment="1">
      <alignment horizontal="right"/>
    </xf>
    <xf numFmtId="0" fontId="43" fillId="0" borderId="0" xfId="47" applyFont="1" applyFill="1" applyBorder="1" applyAlignment="1"/>
    <xf numFmtId="0" fontId="0" fillId="42" borderId="0" xfId="0" applyFill="1"/>
  </cellXfs>
  <cellStyles count="48">
    <cellStyle name="20% - Accent1 2" xfId="23" xr:uid="{4260AD80-9F58-444B-A262-347586BA9992}"/>
    <cellStyle name="20% - Accent2 2" xfId="27" xr:uid="{38ADF79D-B80C-4F08-807F-57EFE24206DE}"/>
    <cellStyle name="20% - Accent3 2" xfId="31" xr:uid="{88A867EB-4E57-49B3-BB72-67ABE7599D2D}"/>
    <cellStyle name="20% - Accent4 2" xfId="35" xr:uid="{1089A5CE-58EC-41E1-812C-162E02594EFB}"/>
    <cellStyle name="20% - Accent5 2" xfId="39" xr:uid="{3EBC8E96-6C56-4A15-B9BC-D1D0165C61BD}"/>
    <cellStyle name="20% - Accent6 2" xfId="43" xr:uid="{31CF5351-EB68-4644-A126-443A961A8A4E}"/>
    <cellStyle name="40% - Accent1 2" xfId="24" xr:uid="{D2C8245A-B4FC-444C-98AF-9EA73232698A}"/>
    <cellStyle name="40% - Accent2 2" xfId="28" xr:uid="{BE9EB36F-585F-4C34-9811-7AA4B84CB457}"/>
    <cellStyle name="40% - Accent3 2" xfId="32" xr:uid="{6846E82A-831E-4753-A56E-DC4C39D4B98C}"/>
    <cellStyle name="40% - Accent4 2" xfId="36" xr:uid="{7F52F9E1-80E5-4E64-B2AA-A4EC1DC97D2A}"/>
    <cellStyle name="40% - Accent5 2" xfId="40" xr:uid="{7A2B82DF-9307-4FBE-8C1F-1CCB6A8C9313}"/>
    <cellStyle name="40% - Accent6 2" xfId="44" xr:uid="{35DD47E9-6972-49AC-9423-2FAB35A71FE6}"/>
    <cellStyle name="60% - Accent1 2" xfId="25" xr:uid="{E9374120-CD1E-418F-BA00-2AD359D1EE69}"/>
    <cellStyle name="60% - Accent2 2" xfId="29" xr:uid="{F5047C67-CCA1-4FB2-BB5E-0EC36BE5A866}"/>
    <cellStyle name="60% - Accent3 2" xfId="33" xr:uid="{B679CFB9-0ADB-4C19-AA57-458BDE3F772A}"/>
    <cellStyle name="60% - Accent4 2" xfId="37" xr:uid="{D5CAE961-3D3E-4DE6-B66B-FC4AAE035797}"/>
    <cellStyle name="60% - Accent5 2" xfId="41" xr:uid="{3DE52090-8B39-434F-B0D9-CC41CEA6F031}"/>
    <cellStyle name="60% - Accent6 2" xfId="45" xr:uid="{50E462C7-201B-4DFF-A35D-4E2674682F3F}"/>
    <cellStyle name="Accent1 2" xfId="22" xr:uid="{586EB56E-2B3F-4850-9D55-9BBEFA766EC4}"/>
    <cellStyle name="Accent2 2" xfId="26" xr:uid="{0BEA90DF-AB16-49CE-9416-403740B6A787}"/>
    <cellStyle name="Accent3 2" xfId="30" xr:uid="{77D728A4-D402-40CE-BBC0-F85AA11B0142}"/>
    <cellStyle name="Accent4 2" xfId="34" xr:uid="{EDD884D3-0E47-4070-8D83-0DB98056FC9D}"/>
    <cellStyle name="Accent5 2" xfId="38" xr:uid="{D8CA8C6C-3FC9-46AD-94CF-2FB92E3106F1}"/>
    <cellStyle name="Accent6 2" xfId="42" xr:uid="{1EE083F1-FFBB-4B4C-A67E-B69B3A4EDC6E}"/>
    <cellStyle name="Bad 2" xfId="12" xr:uid="{24E4084D-B347-46C8-9037-A59017BCAE50}"/>
    <cellStyle name="Calculation 2" xfId="16" xr:uid="{32369F56-2309-4EBD-AC12-35C9466641E5}"/>
    <cellStyle name="Check Cell 2" xfId="18" xr:uid="{FA822EE4-528D-4C88-BBAD-4726E30FD2E9}"/>
    <cellStyle name="Explanatory Text 2" xfId="20" xr:uid="{2FC9C8FD-47F0-4911-8884-BFAA0C16FDCB}"/>
    <cellStyle name="Good 2" xfId="11" xr:uid="{1662EEA6-37FE-4415-9607-4A00D89C38BB}"/>
    <cellStyle name="Heading 1" xfId="6" builtinId="16" customBuiltin="1"/>
    <cellStyle name="Heading 2" xfId="7" builtinId="17" customBuiltin="1"/>
    <cellStyle name="Heading 3" xfId="8" builtinId="18" customBuiltin="1"/>
    <cellStyle name="Heading 4" xfId="9" builtinId="19" customBuiltin="1"/>
    <cellStyle name="Input 2" xfId="14" xr:uid="{5A5A8DAF-2A9D-4FCD-BFE0-D0EBBDA38453}"/>
    <cellStyle name="Linked Cell 2" xfId="17" xr:uid="{F9910558-1980-41DE-81F5-25F43098DC2A}"/>
    <cellStyle name="Neutral" xfId="47" builtinId="28"/>
    <cellStyle name="Neutral 2" xfId="13" xr:uid="{69CF525B-0800-4611-8A80-C56F16C95818}"/>
    <cellStyle name="Normal" xfId="0" builtinId="0"/>
    <cellStyle name="Normal 11 3" xfId="1" xr:uid="{C6729AF7-7155-44EA-8298-D7541F6956D3}"/>
    <cellStyle name="Normal 2" xfId="2" xr:uid="{191CD2BC-9A7F-4C38-9EE4-A966538B6598}"/>
    <cellStyle name="Normal 3" xfId="3" xr:uid="{A9FB39BA-FF79-4EF7-8BB7-DE95E862A479}"/>
    <cellStyle name="Note" xfId="10" builtinId="10" customBuiltin="1"/>
    <cellStyle name="Output 2" xfId="15" xr:uid="{37BDCCC7-AB0F-4F47-9E00-720CB7E05F14}"/>
    <cellStyle name="Percent" xfId="46" builtinId="5"/>
    <cellStyle name="Pourcentage 2" xfId="4" xr:uid="{D9225572-B9CA-4673-8C97-FBE27DF0D731}"/>
    <cellStyle name="Title" xfId="5" builtinId="15" customBuiltin="1"/>
    <cellStyle name="Total 2" xfId="21" xr:uid="{EBB14A43-4EB5-4378-921E-E2DCE5A82FE3}"/>
    <cellStyle name="Warning Text 2" xfId="19" xr:uid="{407F3B6C-17B5-4D4E-A0DE-F8D9E2C592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622B-A0DC-784C-986C-6879FAEDCBD5}">
  <dimension ref="A1:AA315"/>
  <sheetViews>
    <sheetView zoomScale="85" zoomScaleNormal="85" workbookViewId="0">
      <selection activeCell="B3" sqref="B3"/>
    </sheetView>
  </sheetViews>
  <sheetFormatPr defaultColWidth="10.58203125" defaultRowHeight="15.5"/>
  <cols>
    <col min="1" max="1" width="79.25" customWidth="1"/>
    <col min="2" max="2" width="16.25" customWidth="1"/>
    <col min="3" max="3" width="15.33203125" customWidth="1"/>
  </cols>
  <sheetData>
    <row r="1" spans="1:8">
      <c r="A1" t="s">
        <v>170</v>
      </c>
      <c r="B1">
        <v>9</v>
      </c>
    </row>
    <row r="2" spans="1:8">
      <c r="A2" s="1" t="s">
        <v>17</v>
      </c>
      <c r="B2" s="1" t="s">
        <v>1413</v>
      </c>
      <c r="C2" s="1"/>
    </row>
    <row r="3" spans="1:8" s="27" customFormat="1"/>
    <row r="4" spans="1:8">
      <c r="A4" s="1" t="s">
        <v>0</v>
      </c>
      <c r="B4" s="1" t="s">
        <v>19</v>
      </c>
      <c r="C4" s="1"/>
    </row>
    <row r="5" spans="1:8">
      <c r="A5" t="s">
        <v>1</v>
      </c>
      <c r="B5" t="s">
        <v>20</v>
      </c>
    </row>
    <row r="6" spans="1:8">
      <c r="A6" t="s">
        <v>2</v>
      </c>
      <c r="B6">
        <v>1</v>
      </c>
    </row>
    <row r="7" spans="1:8">
      <c r="A7" t="s">
        <v>3</v>
      </c>
      <c r="B7" t="s">
        <v>22</v>
      </c>
    </row>
    <row r="8" spans="1:8">
      <c r="A8" t="s">
        <v>5</v>
      </c>
      <c r="B8" t="s">
        <v>6</v>
      </c>
    </row>
    <row r="9" spans="1:8">
      <c r="A9" t="s">
        <v>7</v>
      </c>
      <c r="B9" t="s">
        <v>21</v>
      </c>
    </row>
    <row r="10" spans="1:8">
      <c r="A10" t="s">
        <v>9</v>
      </c>
      <c r="B10" t="s">
        <v>10</v>
      </c>
    </row>
    <row r="11" spans="1:8">
      <c r="A11" t="s">
        <v>11</v>
      </c>
      <c r="B11" t="s">
        <v>12</v>
      </c>
    </row>
    <row r="12" spans="1:8">
      <c r="A12" t="s">
        <v>13</v>
      </c>
      <c r="B12" t="s">
        <v>23</v>
      </c>
    </row>
    <row r="13" spans="1:8">
      <c r="A13" s="1" t="s">
        <v>14</v>
      </c>
    </row>
    <row r="14" spans="1:8">
      <c r="A14" t="s">
        <v>15</v>
      </c>
      <c r="B14" t="s">
        <v>16</v>
      </c>
      <c r="C14" t="s">
        <v>17</v>
      </c>
      <c r="D14" t="s">
        <v>1</v>
      </c>
      <c r="E14" t="s">
        <v>7</v>
      </c>
      <c r="F14" t="s">
        <v>18</v>
      </c>
      <c r="G14" t="s">
        <v>5</v>
      </c>
      <c r="H14" t="s">
        <v>3</v>
      </c>
    </row>
    <row r="15" spans="1:8">
      <c r="A15" t="s">
        <v>19</v>
      </c>
      <c r="B15">
        <v>1</v>
      </c>
      <c r="C15" t="s">
        <v>1413</v>
      </c>
      <c r="D15" t="s">
        <v>20</v>
      </c>
      <c r="E15" t="s">
        <v>21</v>
      </c>
      <c r="G15" t="s">
        <v>24</v>
      </c>
      <c r="H15" t="s">
        <v>22</v>
      </c>
    </row>
    <row r="16" spans="1:8">
      <c r="A16" t="s">
        <v>25</v>
      </c>
      <c r="B16">
        <v>18</v>
      </c>
      <c r="C16" t="s">
        <v>171</v>
      </c>
      <c r="D16" t="s">
        <v>20</v>
      </c>
      <c r="E16" t="s">
        <v>8</v>
      </c>
      <c r="G16" t="s">
        <v>26</v>
      </c>
      <c r="H16" t="s">
        <v>4</v>
      </c>
    </row>
    <row r="17" spans="1:8">
      <c r="A17" t="s">
        <v>27</v>
      </c>
      <c r="B17">
        <f>(1/10000)*6</f>
        <v>6.0000000000000006E-4</v>
      </c>
      <c r="C17" t="s">
        <v>171</v>
      </c>
      <c r="D17" t="s">
        <v>20</v>
      </c>
      <c r="E17" t="s">
        <v>7</v>
      </c>
      <c r="G17" t="s">
        <v>26</v>
      </c>
      <c r="H17" t="s">
        <v>28</v>
      </c>
    </row>
    <row r="19" spans="1:8">
      <c r="A19" s="1" t="s">
        <v>0</v>
      </c>
      <c r="B19" s="1" t="s">
        <v>29</v>
      </c>
      <c r="C19" s="1"/>
    </row>
    <row r="20" spans="1:8">
      <c r="A20" t="s">
        <v>1</v>
      </c>
      <c r="B20" t="s">
        <v>20</v>
      </c>
    </row>
    <row r="21" spans="1:8">
      <c r="A21" t="s">
        <v>2</v>
      </c>
      <c r="B21">
        <v>1</v>
      </c>
    </row>
    <row r="22" spans="1:8">
      <c r="A22" t="s">
        <v>3</v>
      </c>
      <c r="B22" t="s">
        <v>29</v>
      </c>
    </row>
    <row r="23" spans="1:8">
      <c r="A23" t="s">
        <v>5</v>
      </c>
      <c r="B23" t="s">
        <v>6</v>
      </c>
    </row>
    <row r="24" spans="1:8">
      <c r="A24" t="s">
        <v>7</v>
      </c>
      <c r="B24" t="s">
        <v>21</v>
      </c>
    </row>
    <row r="25" spans="1:8">
      <c r="A25" t="s">
        <v>9</v>
      </c>
      <c r="B25" t="s">
        <v>10</v>
      </c>
    </row>
    <row r="26" spans="1:8">
      <c r="A26" t="s">
        <v>11</v>
      </c>
      <c r="B26" t="s">
        <v>12</v>
      </c>
    </row>
    <row r="27" spans="1:8">
      <c r="A27" t="s">
        <v>13</v>
      </c>
      <c r="B27" t="s">
        <v>30</v>
      </c>
    </row>
    <row r="28" spans="1:8">
      <c r="A28" s="1" t="s">
        <v>14</v>
      </c>
    </row>
    <row r="29" spans="1:8">
      <c r="A29" t="s">
        <v>15</v>
      </c>
      <c r="B29" t="s">
        <v>16</v>
      </c>
      <c r="C29" t="s">
        <v>17</v>
      </c>
      <c r="D29" t="s">
        <v>1</v>
      </c>
      <c r="E29" t="s">
        <v>7</v>
      </c>
      <c r="F29" t="s">
        <v>18</v>
      </c>
      <c r="G29" t="s">
        <v>5</v>
      </c>
      <c r="H29" t="s">
        <v>3</v>
      </c>
    </row>
    <row r="30" spans="1:8">
      <c r="A30" t="s">
        <v>29</v>
      </c>
      <c r="B30">
        <v>1</v>
      </c>
      <c r="C30" t="s">
        <v>1413</v>
      </c>
      <c r="D30" t="s">
        <v>20</v>
      </c>
      <c r="E30" t="s">
        <v>21</v>
      </c>
      <c r="G30" t="s">
        <v>24</v>
      </c>
      <c r="H30" t="s">
        <v>29</v>
      </c>
    </row>
    <row r="31" spans="1:8">
      <c r="A31" t="s">
        <v>31</v>
      </c>
      <c r="B31">
        <f>2.55*43</f>
        <v>109.64999999999999</v>
      </c>
      <c r="C31" t="s">
        <v>171</v>
      </c>
      <c r="D31" t="s">
        <v>34</v>
      </c>
      <c r="E31" t="s">
        <v>33</v>
      </c>
      <c r="G31" t="s">
        <v>26</v>
      </c>
      <c r="H31" t="s">
        <v>32</v>
      </c>
    </row>
    <row r="33" spans="1:8">
      <c r="A33" s="1" t="s">
        <v>0</v>
      </c>
      <c r="B33" s="1" t="s">
        <v>37</v>
      </c>
      <c r="C33" s="1"/>
    </row>
    <row r="34" spans="1:8">
      <c r="A34" t="s">
        <v>1</v>
      </c>
      <c r="B34" t="s">
        <v>20</v>
      </c>
    </row>
    <row r="35" spans="1:8">
      <c r="A35" t="s">
        <v>2</v>
      </c>
      <c r="B35">
        <v>1</v>
      </c>
    </row>
    <row r="36" spans="1:8">
      <c r="A36" t="s">
        <v>3</v>
      </c>
      <c r="B36" t="s">
        <v>36</v>
      </c>
    </row>
    <row r="37" spans="1:8">
      <c r="A37" t="s">
        <v>5</v>
      </c>
      <c r="B37" t="s">
        <v>6</v>
      </c>
    </row>
    <row r="38" spans="1:8">
      <c r="A38" t="s">
        <v>7</v>
      </c>
      <c r="B38" t="s">
        <v>7</v>
      </c>
    </row>
    <row r="39" spans="1:8">
      <c r="A39" t="s">
        <v>9</v>
      </c>
      <c r="B39" t="s">
        <v>10</v>
      </c>
    </row>
    <row r="40" spans="1:8">
      <c r="A40" t="s">
        <v>11</v>
      </c>
      <c r="B40" t="s">
        <v>12</v>
      </c>
    </row>
    <row r="41" spans="1:8">
      <c r="A41" t="s">
        <v>13</v>
      </c>
      <c r="B41" t="s">
        <v>75</v>
      </c>
    </row>
    <row r="42" spans="1:8">
      <c r="A42" s="1" t="s">
        <v>14</v>
      </c>
    </row>
    <row r="43" spans="1:8">
      <c r="A43" t="s">
        <v>15</v>
      </c>
      <c r="B43" t="s">
        <v>16</v>
      </c>
      <c r="C43" t="s">
        <v>17</v>
      </c>
      <c r="D43" t="s">
        <v>1</v>
      </c>
      <c r="E43" t="s">
        <v>7</v>
      </c>
      <c r="F43" t="s">
        <v>18</v>
      </c>
      <c r="G43" t="s">
        <v>5</v>
      </c>
      <c r="H43" t="s">
        <v>3</v>
      </c>
    </row>
    <row r="44" spans="1:8">
      <c r="A44" t="s">
        <v>37</v>
      </c>
      <c r="B44">
        <v>1</v>
      </c>
      <c r="C44" t="s">
        <v>1413</v>
      </c>
      <c r="D44" t="s">
        <v>20</v>
      </c>
      <c r="E44" t="s">
        <v>7</v>
      </c>
      <c r="G44" t="s">
        <v>24</v>
      </c>
      <c r="H44" t="s">
        <v>36</v>
      </c>
    </row>
    <row r="45" spans="1:8">
      <c r="A45" t="s">
        <v>39</v>
      </c>
      <c r="B45">
        <v>533</v>
      </c>
      <c r="C45" t="s">
        <v>171</v>
      </c>
      <c r="D45" t="s">
        <v>34</v>
      </c>
      <c r="E45" t="s">
        <v>38</v>
      </c>
      <c r="G45" t="s">
        <v>26</v>
      </c>
      <c r="H45" t="s">
        <v>40</v>
      </c>
    </row>
    <row r="46" spans="1:8">
      <c r="A46" t="s">
        <v>160</v>
      </c>
      <c r="B46">
        <v>340</v>
      </c>
      <c r="C46" t="s">
        <v>171</v>
      </c>
      <c r="D46" t="s">
        <v>51</v>
      </c>
      <c r="E46" t="s">
        <v>38</v>
      </c>
      <c r="G46" t="s">
        <v>26</v>
      </c>
      <c r="H46" t="s">
        <v>161</v>
      </c>
    </row>
    <row r="47" spans="1:8">
      <c r="A47" t="s">
        <v>162</v>
      </c>
      <c r="B47">
        <v>324</v>
      </c>
      <c r="C47" t="s">
        <v>171</v>
      </c>
      <c r="D47" t="s">
        <v>34</v>
      </c>
      <c r="E47" t="s">
        <v>38</v>
      </c>
      <c r="G47" t="s">
        <v>26</v>
      </c>
      <c r="H47" t="s">
        <v>163</v>
      </c>
    </row>
    <row r="48" spans="1:8">
      <c r="A48" t="s">
        <v>41</v>
      </c>
      <c r="B48">
        <v>113.51</v>
      </c>
      <c r="C48" t="s">
        <v>171</v>
      </c>
      <c r="D48" t="s">
        <v>42</v>
      </c>
      <c r="E48" t="s">
        <v>38</v>
      </c>
      <c r="G48" t="s">
        <v>26</v>
      </c>
      <c r="H48" t="s">
        <v>43</v>
      </c>
    </row>
    <row r="49" spans="1:8">
      <c r="A49" t="s">
        <v>44</v>
      </c>
      <c r="B49">
        <v>86.3</v>
      </c>
      <c r="C49" t="s">
        <v>171</v>
      </c>
      <c r="D49" t="s">
        <v>34</v>
      </c>
      <c r="E49" t="s">
        <v>38</v>
      </c>
      <c r="G49" t="s">
        <v>26</v>
      </c>
      <c r="H49" t="s">
        <v>45</v>
      </c>
    </row>
    <row r="50" spans="1:8">
      <c r="A50" t="s">
        <v>164</v>
      </c>
      <c r="B50">
        <v>59.9</v>
      </c>
      <c r="C50" t="s">
        <v>171</v>
      </c>
      <c r="D50" t="s">
        <v>20</v>
      </c>
      <c r="E50" t="s">
        <v>38</v>
      </c>
      <c r="G50" t="s">
        <v>26</v>
      </c>
      <c r="H50" t="s">
        <v>165</v>
      </c>
    </row>
    <row r="51" spans="1:8">
      <c r="A51" t="s">
        <v>46</v>
      </c>
      <c r="B51">
        <v>11</v>
      </c>
      <c r="C51" t="s">
        <v>171</v>
      </c>
      <c r="D51" t="s">
        <v>34</v>
      </c>
      <c r="E51" t="s">
        <v>38</v>
      </c>
      <c r="G51" t="s">
        <v>26</v>
      </c>
      <c r="H51" t="s">
        <v>47</v>
      </c>
    </row>
    <row r="53" spans="1:8">
      <c r="A53" s="1" t="s">
        <v>0</v>
      </c>
      <c r="B53" s="1" t="s">
        <v>49</v>
      </c>
      <c r="C53" s="1"/>
    </row>
    <row r="54" spans="1:8">
      <c r="A54" t="s">
        <v>1</v>
      </c>
      <c r="B54" t="s">
        <v>20</v>
      </c>
    </row>
    <row r="55" spans="1:8">
      <c r="A55" t="s">
        <v>2</v>
      </c>
      <c r="B55">
        <v>1</v>
      </c>
    </row>
    <row r="56" spans="1:8">
      <c r="A56" t="s">
        <v>3</v>
      </c>
      <c r="B56" t="s">
        <v>48</v>
      </c>
    </row>
    <row r="57" spans="1:8">
      <c r="A57" t="s">
        <v>5</v>
      </c>
      <c r="B57" t="s">
        <v>6</v>
      </c>
    </row>
    <row r="58" spans="1:8">
      <c r="A58" t="s">
        <v>7</v>
      </c>
      <c r="B58" t="s">
        <v>7</v>
      </c>
    </row>
    <row r="59" spans="1:8">
      <c r="A59" t="s">
        <v>9</v>
      </c>
      <c r="B59" t="s">
        <v>10</v>
      </c>
    </row>
    <row r="60" spans="1:8">
      <c r="A60" t="s">
        <v>11</v>
      </c>
      <c r="B60" t="s">
        <v>12</v>
      </c>
    </row>
    <row r="61" spans="1:8">
      <c r="A61" t="s">
        <v>13</v>
      </c>
      <c r="B61" t="s">
        <v>76</v>
      </c>
    </row>
    <row r="62" spans="1:8">
      <c r="A62" s="1" t="s">
        <v>14</v>
      </c>
    </row>
    <row r="63" spans="1:8">
      <c r="A63" t="s">
        <v>15</v>
      </c>
      <c r="B63" t="s">
        <v>16</v>
      </c>
      <c r="C63" t="s">
        <v>17</v>
      </c>
      <c r="D63" t="s">
        <v>1</v>
      </c>
      <c r="E63" t="s">
        <v>7</v>
      </c>
      <c r="F63" t="s">
        <v>18</v>
      </c>
      <c r="G63" t="s">
        <v>5</v>
      </c>
      <c r="H63" t="s">
        <v>3</v>
      </c>
    </row>
    <row r="64" spans="1:8">
      <c r="A64" t="s">
        <v>49</v>
      </c>
      <c r="B64">
        <v>1</v>
      </c>
      <c r="C64" t="s">
        <v>1413</v>
      </c>
      <c r="D64" t="s">
        <v>20</v>
      </c>
      <c r="E64" t="s">
        <v>7</v>
      </c>
      <c r="G64" t="s">
        <v>24</v>
      </c>
      <c r="H64" t="s">
        <v>48</v>
      </c>
    </row>
    <row r="65" spans="1:23">
      <c r="A65" t="s">
        <v>39</v>
      </c>
      <c r="B65">
        <v>5.5043000000000002E-2</v>
      </c>
      <c r="C65" t="s">
        <v>171</v>
      </c>
      <c r="D65" t="s">
        <v>34</v>
      </c>
      <c r="E65" t="s">
        <v>38</v>
      </c>
      <c r="G65" t="s">
        <v>26</v>
      </c>
      <c r="H65" t="s">
        <v>40</v>
      </c>
    </row>
    <row r="66" spans="1:23">
      <c r="A66" t="s">
        <v>71</v>
      </c>
      <c r="B66">
        <v>1.3320000000000001E-3</v>
      </c>
      <c r="C66" t="s">
        <v>171</v>
      </c>
      <c r="D66" t="s">
        <v>34</v>
      </c>
      <c r="E66" t="s">
        <v>38</v>
      </c>
      <c r="G66" t="s">
        <v>26</v>
      </c>
      <c r="H66" t="s">
        <v>72</v>
      </c>
    </row>
    <row r="67" spans="1:23">
      <c r="A67" t="s">
        <v>44</v>
      </c>
      <c r="B67">
        <v>0.89900000000000002</v>
      </c>
      <c r="C67" t="s">
        <v>171</v>
      </c>
      <c r="D67" t="s">
        <v>34</v>
      </c>
      <c r="E67" t="s">
        <v>38</v>
      </c>
      <c r="G67" t="s">
        <v>26</v>
      </c>
      <c r="H67" t="s">
        <v>45</v>
      </c>
    </row>
    <row r="68" spans="1:23">
      <c r="A68" t="s">
        <v>69</v>
      </c>
      <c r="B68">
        <v>0.378</v>
      </c>
      <c r="C68" t="s">
        <v>171</v>
      </c>
      <c r="D68" t="s">
        <v>42</v>
      </c>
      <c r="E68" t="s">
        <v>38</v>
      </c>
      <c r="G68" t="s">
        <v>26</v>
      </c>
      <c r="H68" t="s">
        <v>70</v>
      </c>
    </row>
    <row r="69" spans="1:23">
      <c r="A69" t="s">
        <v>67</v>
      </c>
      <c r="B69">
        <v>1.6736000000000001E-2</v>
      </c>
      <c r="C69" t="s">
        <v>171</v>
      </c>
      <c r="D69" t="s">
        <v>34</v>
      </c>
      <c r="E69" t="s">
        <v>38</v>
      </c>
      <c r="G69" t="s">
        <v>26</v>
      </c>
      <c r="H69" t="s">
        <v>68</v>
      </c>
    </row>
    <row r="70" spans="1:23">
      <c r="A70" t="s">
        <v>67</v>
      </c>
      <c r="B70">
        <v>0.315</v>
      </c>
      <c r="C70" t="s">
        <v>171</v>
      </c>
      <c r="D70" t="s">
        <v>34</v>
      </c>
      <c r="E70" t="s">
        <v>38</v>
      </c>
      <c r="G70" t="s">
        <v>26</v>
      </c>
      <c r="H70" t="s">
        <v>68</v>
      </c>
    </row>
    <row r="71" spans="1:23">
      <c r="A71" t="s">
        <v>65</v>
      </c>
      <c r="B71">
        <v>1.4999999999999999E-2</v>
      </c>
      <c r="C71" t="s">
        <v>171</v>
      </c>
      <c r="D71" t="s">
        <v>20</v>
      </c>
      <c r="E71" t="s">
        <v>38</v>
      </c>
      <c r="G71" t="s">
        <v>26</v>
      </c>
      <c r="H71" t="s">
        <v>66</v>
      </c>
    </row>
    <row r="72" spans="1:23">
      <c r="A72" t="s">
        <v>63</v>
      </c>
      <c r="B72">
        <v>0.183</v>
      </c>
      <c r="C72" t="s">
        <v>171</v>
      </c>
      <c r="D72" t="s">
        <v>20</v>
      </c>
      <c r="E72" t="s">
        <v>38</v>
      </c>
      <c r="G72" t="s">
        <v>26</v>
      </c>
      <c r="H72" t="s">
        <v>64</v>
      </c>
      <c r="W72" s="2"/>
    </row>
    <row r="73" spans="1:23">
      <c r="A73" t="s">
        <v>61</v>
      </c>
      <c r="B73">
        <v>0.14000000000000001</v>
      </c>
      <c r="C73" t="s">
        <v>171</v>
      </c>
      <c r="D73" t="s">
        <v>20</v>
      </c>
      <c r="E73" t="s">
        <v>38</v>
      </c>
      <c r="G73" t="s">
        <v>26</v>
      </c>
      <c r="H73" t="s">
        <v>62</v>
      </c>
    </row>
    <row r="74" spans="1:23">
      <c r="A74" t="s">
        <v>61</v>
      </c>
      <c r="B74">
        <v>6.0999999999999999E-2</v>
      </c>
      <c r="C74" t="s">
        <v>171</v>
      </c>
      <c r="D74" t="s">
        <v>20</v>
      </c>
      <c r="E74" t="s">
        <v>38</v>
      </c>
      <c r="G74" t="s">
        <v>26</v>
      </c>
      <c r="H74" t="s">
        <v>62</v>
      </c>
    </row>
    <row r="75" spans="1:23">
      <c r="A75" t="s">
        <v>1282</v>
      </c>
      <c r="B75">
        <v>8.0000000000000002E-3</v>
      </c>
      <c r="C75" t="s">
        <v>171</v>
      </c>
      <c r="D75" t="s">
        <v>20</v>
      </c>
      <c r="E75" t="s">
        <v>38</v>
      </c>
      <c r="G75" t="s">
        <v>26</v>
      </c>
      <c r="H75" t="s">
        <v>1283</v>
      </c>
    </row>
    <row r="76" spans="1:23">
      <c r="A76" t="s">
        <v>59</v>
      </c>
      <c r="B76">
        <v>8.9999999999999993E-3</v>
      </c>
      <c r="C76" t="s">
        <v>171</v>
      </c>
      <c r="D76" t="s">
        <v>34</v>
      </c>
      <c r="E76" t="s">
        <v>38</v>
      </c>
      <c r="G76" t="s">
        <v>26</v>
      </c>
      <c r="H76" t="s">
        <v>60</v>
      </c>
    </row>
    <row r="77" spans="1:23">
      <c r="A77" t="s">
        <v>57</v>
      </c>
      <c r="B77">
        <v>0.22700000000000001</v>
      </c>
      <c r="C77" t="s">
        <v>171</v>
      </c>
      <c r="D77" t="s">
        <v>34</v>
      </c>
      <c r="E77" t="s">
        <v>38</v>
      </c>
      <c r="G77" t="s">
        <v>26</v>
      </c>
      <c r="H77" t="s">
        <v>58</v>
      </c>
    </row>
    <row r="78" spans="1:23">
      <c r="A78" t="s">
        <v>55</v>
      </c>
      <c r="B78">
        <v>2.3751000000000001E-2</v>
      </c>
      <c r="C78" t="s">
        <v>171</v>
      </c>
      <c r="D78" t="s">
        <v>20</v>
      </c>
      <c r="E78" t="s">
        <v>38</v>
      </c>
      <c r="G78" t="s">
        <v>26</v>
      </c>
      <c r="H78" t="s">
        <v>56</v>
      </c>
    </row>
    <row r="79" spans="1:23">
      <c r="A79" t="s">
        <v>55</v>
      </c>
      <c r="B79">
        <v>0.84399999999999997</v>
      </c>
      <c r="C79" t="s">
        <v>171</v>
      </c>
      <c r="D79" t="s">
        <v>20</v>
      </c>
      <c r="E79" t="s">
        <v>38</v>
      </c>
      <c r="G79" t="s">
        <v>26</v>
      </c>
      <c r="H79" t="s">
        <v>56</v>
      </c>
    </row>
    <row r="80" spans="1:23">
      <c r="A80" t="s">
        <v>53</v>
      </c>
      <c r="B80">
        <v>0.28199999999999997</v>
      </c>
      <c r="C80" t="s">
        <v>171</v>
      </c>
      <c r="D80" t="s">
        <v>20</v>
      </c>
      <c r="E80" t="s">
        <v>38</v>
      </c>
      <c r="G80" t="s">
        <v>26</v>
      </c>
      <c r="H80" t="s">
        <v>54</v>
      </c>
    </row>
    <row r="81" spans="1:8">
      <c r="A81" t="s">
        <v>52</v>
      </c>
      <c r="B81">
        <v>0.19800000000000001</v>
      </c>
      <c r="C81" t="s">
        <v>171</v>
      </c>
      <c r="D81" t="s">
        <v>51</v>
      </c>
      <c r="E81" t="s">
        <v>38</v>
      </c>
      <c r="G81" t="s">
        <v>26</v>
      </c>
      <c r="H81" t="s">
        <v>50</v>
      </c>
    </row>
    <row r="83" spans="1:8">
      <c r="A83" s="1" t="s">
        <v>0</v>
      </c>
      <c r="B83" s="1" t="s">
        <v>74</v>
      </c>
      <c r="C83" s="1"/>
    </row>
    <row r="84" spans="1:8">
      <c r="A84" t="s">
        <v>1</v>
      </c>
      <c r="B84" t="s">
        <v>20</v>
      </c>
    </row>
    <row r="85" spans="1:8">
      <c r="A85" t="s">
        <v>2</v>
      </c>
      <c r="B85">
        <v>1</v>
      </c>
    </row>
    <row r="86" spans="1:8">
      <c r="A86" t="s">
        <v>3</v>
      </c>
      <c r="B86" t="s">
        <v>73</v>
      </c>
    </row>
    <row r="87" spans="1:8">
      <c r="A87" t="s">
        <v>5</v>
      </c>
      <c r="B87" t="s">
        <v>6</v>
      </c>
    </row>
    <row r="88" spans="1:8">
      <c r="A88" t="s">
        <v>7</v>
      </c>
      <c r="B88" t="s">
        <v>7</v>
      </c>
    </row>
    <row r="89" spans="1:8">
      <c r="A89" t="s">
        <v>9</v>
      </c>
      <c r="B89" t="s">
        <v>10</v>
      </c>
    </row>
    <row r="90" spans="1:8">
      <c r="A90" t="s">
        <v>11</v>
      </c>
      <c r="B90" t="s">
        <v>12</v>
      </c>
    </row>
    <row r="91" spans="1:8">
      <c r="A91" t="s">
        <v>13</v>
      </c>
      <c r="B91" t="s">
        <v>77</v>
      </c>
    </row>
    <row r="92" spans="1:8">
      <c r="A92" s="1" t="s">
        <v>14</v>
      </c>
    </row>
    <row r="93" spans="1:8">
      <c r="A93" t="s">
        <v>15</v>
      </c>
      <c r="B93" t="s">
        <v>16</v>
      </c>
      <c r="C93" t="s">
        <v>17</v>
      </c>
      <c r="D93" t="s">
        <v>1</v>
      </c>
      <c r="E93" t="s">
        <v>7</v>
      </c>
      <c r="F93" t="s">
        <v>18</v>
      </c>
      <c r="G93" t="s">
        <v>5</v>
      </c>
      <c r="H93" t="s">
        <v>3</v>
      </c>
    </row>
    <row r="94" spans="1:8">
      <c r="A94" t="s">
        <v>74</v>
      </c>
      <c r="B94">
        <v>1</v>
      </c>
      <c r="C94" t="s">
        <v>1413</v>
      </c>
      <c r="D94" t="s">
        <v>20</v>
      </c>
      <c r="E94" t="s">
        <v>7</v>
      </c>
      <c r="G94" t="s">
        <v>24</v>
      </c>
      <c r="H94" t="s">
        <v>73</v>
      </c>
    </row>
    <row r="95" spans="1:8">
      <c r="A95" t="s">
        <v>162</v>
      </c>
      <c r="B95">
        <v>89.7</v>
      </c>
      <c r="C95" t="s">
        <v>171</v>
      </c>
      <c r="D95" t="s">
        <v>34</v>
      </c>
      <c r="E95" t="s">
        <v>38</v>
      </c>
      <c r="G95" t="s">
        <v>26</v>
      </c>
      <c r="H95" t="s">
        <v>163</v>
      </c>
    </row>
    <row r="96" spans="1:8">
      <c r="A96" t="s">
        <v>71</v>
      </c>
      <c r="B96">
        <v>6</v>
      </c>
      <c r="C96" t="s">
        <v>171</v>
      </c>
      <c r="D96" t="s">
        <v>34</v>
      </c>
      <c r="E96" t="s">
        <v>38</v>
      </c>
      <c r="G96" t="s">
        <v>26</v>
      </c>
      <c r="H96" t="s">
        <v>72</v>
      </c>
    </row>
    <row r="97" spans="1:27">
      <c r="A97" t="s">
        <v>67</v>
      </c>
      <c r="B97">
        <v>7.6</v>
      </c>
      <c r="C97" t="s">
        <v>171</v>
      </c>
      <c r="D97" t="s">
        <v>34</v>
      </c>
      <c r="E97" t="s">
        <v>38</v>
      </c>
      <c r="G97" t="s">
        <v>26</v>
      </c>
      <c r="H97" t="s">
        <v>68</v>
      </c>
    </row>
    <row r="98" spans="1:27">
      <c r="A98" t="s">
        <v>52</v>
      </c>
      <c r="B98">
        <v>0.4</v>
      </c>
      <c r="C98" t="s">
        <v>171</v>
      </c>
      <c r="D98" t="s">
        <v>51</v>
      </c>
      <c r="E98" t="s">
        <v>38</v>
      </c>
      <c r="G98" t="s">
        <v>26</v>
      </c>
      <c r="H98" t="s">
        <v>50</v>
      </c>
    </row>
    <row r="99" spans="1:27">
      <c r="A99" t="s">
        <v>61</v>
      </c>
      <c r="B99">
        <v>0.9</v>
      </c>
      <c r="C99" t="s">
        <v>171</v>
      </c>
      <c r="D99" t="s">
        <v>20</v>
      </c>
      <c r="E99" t="s">
        <v>38</v>
      </c>
      <c r="G99" t="s">
        <v>26</v>
      </c>
      <c r="H99" t="s">
        <v>62</v>
      </c>
    </row>
    <row r="100" spans="1:27">
      <c r="A100" t="s">
        <v>78</v>
      </c>
      <c r="B100">
        <v>0.7</v>
      </c>
      <c r="C100" t="s">
        <v>171</v>
      </c>
      <c r="D100" t="s">
        <v>34</v>
      </c>
      <c r="E100" t="s">
        <v>38</v>
      </c>
      <c r="G100" t="s">
        <v>26</v>
      </c>
      <c r="H100" t="s">
        <v>79</v>
      </c>
    </row>
    <row r="101" spans="1:27">
      <c r="A101" t="s">
        <v>80</v>
      </c>
      <c r="B101">
        <v>0.1</v>
      </c>
      <c r="C101" t="s">
        <v>171</v>
      </c>
      <c r="D101" t="s">
        <v>34</v>
      </c>
      <c r="E101" t="s">
        <v>38</v>
      </c>
      <c r="G101" t="s">
        <v>26</v>
      </c>
      <c r="H101" t="s">
        <v>81</v>
      </c>
    </row>
    <row r="102" spans="1:27">
      <c r="A102" t="s">
        <v>82</v>
      </c>
      <c r="B102">
        <v>0.1</v>
      </c>
      <c r="C102" t="s">
        <v>171</v>
      </c>
      <c r="D102" t="s">
        <v>20</v>
      </c>
      <c r="E102" t="s">
        <v>38</v>
      </c>
      <c r="G102" t="s">
        <v>26</v>
      </c>
      <c r="H102" t="s">
        <v>83</v>
      </c>
    </row>
    <row r="103" spans="1:27">
      <c r="A103" t="s">
        <v>84</v>
      </c>
      <c r="B103">
        <v>0.1</v>
      </c>
      <c r="C103" t="s">
        <v>171</v>
      </c>
      <c r="D103" t="s">
        <v>20</v>
      </c>
      <c r="E103" t="s">
        <v>38</v>
      </c>
      <c r="G103" t="s">
        <v>26</v>
      </c>
      <c r="H103" t="s">
        <v>85</v>
      </c>
    </row>
    <row r="104" spans="1:27">
      <c r="A104" t="s">
        <v>55</v>
      </c>
      <c r="B104">
        <v>22.6</v>
      </c>
      <c r="C104" t="s">
        <v>171</v>
      </c>
      <c r="D104" t="s">
        <v>20</v>
      </c>
      <c r="E104" t="s">
        <v>38</v>
      </c>
      <c r="G104" t="s">
        <v>26</v>
      </c>
      <c r="H104" t="s">
        <v>56</v>
      </c>
    </row>
    <row r="105" spans="1:27">
      <c r="A105" t="s">
        <v>53</v>
      </c>
      <c r="B105">
        <v>0.2</v>
      </c>
      <c r="C105" t="s">
        <v>171</v>
      </c>
      <c r="D105" t="s">
        <v>20</v>
      </c>
      <c r="E105" t="s">
        <v>38</v>
      </c>
      <c r="G105" t="s">
        <v>26</v>
      </c>
      <c r="H105" t="s">
        <v>54</v>
      </c>
    </row>
    <row r="106" spans="1:27">
      <c r="A106" t="s">
        <v>86</v>
      </c>
      <c r="B106">
        <v>0.5</v>
      </c>
      <c r="C106" t="s">
        <v>171</v>
      </c>
      <c r="D106" t="s">
        <v>34</v>
      </c>
      <c r="E106" t="s">
        <v>38</v>
      </c>
      <c r="G106" t="s">
        <v>26</v>
      </c>
      <c r="H106" t="s">
        <v>87</v>
      </c>
    </row>
    <row r="107" spans="1:27">
      <c r="A107" t="s">
        <v>44</v>
      </c>
      <c r="B107">
        <v>1.1000000000000001</v>
      </c>
      <c r="C107" t="s">
        <v>171</v>
      </c>
      <c r="D107" t="s">
        <v>34</v>
      </c>
      <c r="E107" t="s">
        <v>38</v>
      </c>
      <c r="G107" t="s">
        <v>26</v>
      </c>
      <c r="H107" t="s">
        <v>45</v>
      </c>
      <c r="AA107" s="3"/>
    </row>
    <row r="108" spans="1:27">
      <c r="A108" t="s">
        <v>88</v>
      </c>
      <c r="B108">
        <v>0.8</v>
      </c>
      <c r="C108" t="s">
        <v>171</v>
      </c>
      <c r="D108" t="s">
        <v>20</v>
      </c>
      <c r="E108" t="s">
        <v>38</v>
      </c>
      <c r="G108" t="s">
        <v>26</v>
      </c>
      <c r="H108" t="s">
        <v>89</v>
      </c>
    </row>
    <row r="110" spans="1:27">
      <c r="A110" s="1" t="s">
        <v>0</v>
      </c>
      <c r="B110" s="1" t="s">
        <v>90</v>
      </c>
      <c r="C110" s="1"/>
    </row>
    <row r="111" spans="1:27">
      <c r="A111" t="s">
        <v>1</v>
      </c>
      <c r="B111" t="s">
        <v>20</v>
      </c>
    </row>
    <row r="112" spans="1:27">
      <c r="A112" t="s">
        <v>2</v>
      </c>
      <c r="B112">
        <v>1</v>
      </c>
    </row>
    <row r="113" spans="1:8">
      <c r="A113" t="s">
        <v>3</v>
      </c>
      <c r="B113" t="s">
        <v>91</v>
      </c>
    </row>
    <row r="114" spans="1:8">
      <c r="A114" t="s">
        <v>5</v>
      </c>
      <c r="B114" t="s">
        <v>6</v>
      </c>
    </row>
    <row r="115" spans="1:8">
      <c r="A115" t="s">
        <v>7</v>
      </c>
      <c r="B115" t="s">
        <v>7</v>
      </c>
    </row>
    <row r="116" spans="1:8">
      <c r="A116" t="s">
        <v>9</v>
      </c>
      <c r="B116" t="s">
        <v>10</v>
      </c>
    </row>
    <row r="117" spans="1:8">
      <c r="A117" t="s">
        <v>11</v>
      </c>
      <c r="B117" t="s">
        <v>12</v>
      </c>
    </row>
    <row r="118" spans="1:8">
      <c r="A118" t="s">
        <v>13</v>
      </c>
      <c r="B118" t="s">
        <v>92</v>
      </c>
    </row>
    <row r="119" spans="1:8">
      <c r="A119" s="1" t="s">
        <v>14</v>
      </c>
    </row>
    <row r="120" spans="1:8">
      <c r="A120" t="s">
        <v>15</v>
      </c>
      <c r="B120" t="s">
        <v>16</v>
      </c>
      <c r="C120" t="s">
        <v>17</v>
      </c>
      <c r="D120" t="s">
        <v>1</v>
      </c>
      <c r="E120" t="s">
        <v>7</v>
      </c>
      <c r="F120" t="s">
        <v>18</v>
      </c>
      <c r="G120" t="s">
        <v>5</v>
      </c>
      <c r="H120" t="s">
        <v>3</v>
      </c>
    </row>
    <row r="121" spans="1:8">
      <c r="A121" t="s">
        <v>90</v>
      </c>
      <c r="B121">
        <v>1</v>
      </c>
      <c r="C121" t="s">
        <v>1413</v>
      </c>
      <c r="D121" t="s">
        <v>20</v>
      </c>
      <c r="E121" t="s">
        <v>7</v>
      </c>
      <c r="G121" t="s">
        <v>24</v>
      </c>
      <c r="H121" t="s">
        <v>91</v>
      </c>
    </row>
    <row r="122" spans="1:8">
      <c r="A122" t="s">
        <v>74</v>
      </c>
      <c r="B122">
        <v>2</v>
      </c>
      <c r="C122" t="s">
        <v>1413</v>
      </c>
      <c r="D122" t="s">
        <v>20</v>
      </c>
      <c r="E122" t="s">
        <v>7</v>
      </c>
      <c r="G122" t="s">
        <v>26</v>
      </c>
      <c r="H122" t="s">
        <v>73</v>
      </c>
    </row>
    <row r="123" spans="1:8">
      <c r="A123" t="s">
        <v>49</v>
      </c>
      <c r="B123">
        <v>1</v>
      </c>
      <c r="C123" t="s">
        <v>1413</v>
      </c>
      <c r="D123" t="s">
        <v>20</v>
      </c>
      <c r="E123" t="s">
        <v>7</v>
      </c>
      <c r="G123" t="s">
        <v>26</v>
      </c>
      <c r="H123" t="s">
        <v>48</v>
      </c>
    </row>
    <row r="125" spans="1:8">
      <c r="A125" s="1" t="s">
        <v>0</v>
      </c>
      <c r="B125" s="1" t="s">
        <v>93</v>
      </c>
      <c r="C125" s="1"/>
    </row>
    <row r="126" spans="1:8">
      <c r="A126" t="s">
        <v>1</v>
      </c>
      <c r="B126" t="s">
        <v>20</v>
      </c>
    </row>
    <row r="127" spans="1:8">
      <c r="A127" t="s">
        <v>2</v>
      </c>
      <c r="B127">
        <v>1</v>
      </c>
    </row>
    <row r="128" spans="1:8">
      <c r="A128" t="s">
        <v>3</v>
      </c>
      <c r="B128" t="s">
        <v>94</v>
      </c>
    </row>
    <row r="129" spans="1:8">
      <c r="A129" t="s">
        <v>5</v>
      </c>
      <c r="B129" t="s">
        <v>6</v>
      </c>
    </row>
    <row r="130" spans="1:8">
      <c r="A130" t="s">
        <v>7</v>
      </c>
      <c r="B130" t="s">
        <v>38</v>
      </c>
    </row>
    <row r="131" spans="1:8">
      <c r="A131" t="s">
        <v>9</v>
      </c>
      <c r="B131" t="s">
        <v>10</v>
      </c>
    </row>
    <row r="132" spans="1:8">
      <c r="A132" t="s">
        <v>11</v>
      </c>
      <c r="B132" t="s">
        <v>12</v>
      </c>
    </row>
    <row r="133" spans="1:8">
      <c r="A133" t="s">
        <v>13</v>
      </c>
      <c r="B133" t="s">
        <v>92</v>
      </c>
    </row>
    <row r="134" spans="1:8">
      <c r="A134" s="1" t="s">
        <v>14</v>
      </c>
    </row>
    <row r="135" spans="1:8">
      <c r="A135" t="s">
        <v>15</v>
      </c>
      <c r="B135" t="s">
        <v>16</v>
      </c>
      <c r="C135" t="s">
        <v>17</v>
      </c>
      <c r="D135" t="s">
        <v>1</v>
      </c>
      <c r="E135" t="s">
        <v>7</v>
      </c>
      <c r="F135" t="s">
        <v>18</v>
      </c>
      <c r="G135" t="s">
        <v>5</v>
      </c>
      <c r="H135" t="s">
        <v>3</v>
      </c>
    </row>
    <row r="136" spans="1:8">
      <c r="A136" t="s">
        <v>93</v>
      </c>
      <c r="B136">
        <v>1</v>
      </c>
      <c r="C136" t="s">
        <v>1413</v>
      </c>
      <c r="D136" t="s">
        <v>20</v>
      </c>
      <c r="E136" t="s">
        <v>38</v>
      </c>
      <c r="G136" t="s">
        <v>24</v>
      </c>
      <c r="H136" t="s">
        <v>94</v>
      </c>
    </row>
    <row r="137" spans="1:8">
      <c r="A137" t="s">
        <v>55</v>
      </c>
      <c r="B137">
        <v>0.15</v>
      </c>
      <c r="C137" t="s">
        <v>171</v>
      </c>
      <c r="D137" t="s">
        <v>20</v>
      </c>
      <c r="E137" t="s">
        <v>38</v>
      </c>
      <c r="G137" t="s">
        <v>26</v>
      </c>
      <c r="H137" t="s">
        <v>56</v>
      </c>
    </row>
    <row r="138" spans="1:8">
      <c r="A138" t="s">
        <v>55</v>
      </c>
      <c r="B138">
        <v>7.4999999999999997E-2</v>
      </c>
      <c r="C138" t="s">
        <v>171</v>
      </c>
      <c r="D138" t="s">
        <v>20</v>
      </c>
      <c r="E138" t="s">
        <v>38</v>
      </c>
      <c r="G138" t="s">
        <v>26</v>
      </c>
      <c r="H138" t="s">
        <v>56</v>
      </c>
    </row>
    <row r="139" spans="1:8">
      <c r="A139" t="s">
        <v>1288</v>
      </c>
      <c r="B139">
        <v>7.4999999999999997E-2</v>
      </c>
      <c r="C139" t="s">
        <v>171</v>
      </c>
      <c r="D139" t="s">
        <v>20</v>
      </c>
      <c r="E139" t="s">
        <v>38</v>
      </c>
      <c r="G139" t="s">
        <v>26</v>
      </c>
      <c r="H139" t="s">
        <v>1289</v>
      </c>
    </row>
    <row r="140" spans="1:8">
      <c r="A140" t="s">
        <v>1293</v>
      </c>
      <c r="B140">
        <v>0.04</v>
      </c>
      <c r="C140" t="s">
        <v>171</v>
      </c>
      <c r="D140" t="s">
        <v>34</v>
      </c>
      <c r="E140" t="s">
        <v>38</v>
      </c>
      <c r="G140" t="s">
        <v>26</v>
      </c>
      <c r="H140" t="s">
        <v>1294</v>
      </c>
    </row>
    <row r="141" spans="1:8">
      <c r="A141" t="s">
        <v>96</v>
      </c>
      <c r="B141">
        <v>0.02</v>
      </c>
      <c r="C141" t="s">
        <v>171</v>
      </c>
      <c r="D141" t="s">
        <v>20</v>
      </c>
      <c r="E141" t="s">
        <v>38</v>
      </c>
      <c r="G141" t="s">
        <v>26</v>
      </c>
      <c r="H141" t="s">
        <v>97</v>
      </c>
    </row>
    <row r="142" spans="1:8">
      <c r="A142" t="s">
        <v>166</v>
      </c>
      <c r="B142">
        <v>1.7500000000000002E-2</v>
      </c>
      <c r="C142" t="s">
        <v>171</v>
      </c>
      <c r="D142" t="s">
        <v>20</v>
      </c>
      <c r="E142" t="s">
        <v>38</v>
      </c>
      <c r="G142" t="s">
        <v>26</v>
      </c>
      <c r="H142" t="s">
        <v>95</v>
      </c>
    </row>
    <row r="143" spans="1:8">
      <c r="A143" t="s">
        <v>98</v>
      </c>
      <c r="B143">
        <v>0.02</v>
      </c>
      <c r="C143" t="s">
        <v>171</v>
      </c>
      <c r="D143" t="s">
        <v>34</v>
      </c>
      <c r="E143" t="s">
        <v>38</v>
      </c>
      <c r="G143" t="s">
        <v>26</v>
      </c>
      <c r="H143" t="s">
        <v>99</v>
      </c>
    </row>
    <row r="144" spans="1:8">
      <c r="A144" t="s">
        <v>55</v>
      </c>
      <c r="B144">
        <v>0.60250000000000004</v>
      </c>
      <c r="C144" t="s">
        <v>171</v>
      </c>
      <c r="D144" t="s">
        <v>20</v>
      </c>
      <c r="E144" t="s">
        <v>38</v>
      </c>
      <c r="G144" t="s">
        <v>26</v>
      </c>
      <c r="H144" t="s">
        <v>56</v>
      </c>
    </row>
    <row r="146" spans="1:8">
      <c r="A146" s="1" t="s">
        <v>0</v>
      </c>
      <c r="B146" s="1" t="s">
        <v>100</v>
      </c>
      <c r="C146" s="1"/>
    </row>
    <row r="147" spans="1:8">
      <c r="A147" t="s">
        <v>1</v>
      </c>
      <c r="B147" t="s">
        <v>20</v>
      </c>
    </row>
    <row r="148" spans="1:8">
      <c r="A148" t="s">
        <v>2</v>
      </c>
      <c r="B148">
        <v>1</v>
      </c>
    </row>
    <row r="149" spans="1:8">
      <c r="A149" t="s">
        <v>3</v>
      </c>
      <c r="B149" t="s">
        <v>101</v>
      </c>
    </row>
    <row r="150" spans="1:8">
      <c r="A150" t="s">
        <v>5</v>
      </c>
      <c r="B150" t="s">
        <v>6</v>
      </c>
    </row>
    <row r="151" spans="1:8">
      <c r="A151" t="s">
        <v>7</v>
      </c>
      <c r="B151" t="s">
        <v>38</v>
      </c>
    </row>
    <row r="152" spans="1:8">
      <c r="A152" t="s">
        <v>9</v>
      </c>
      <c r="B152" t="s">
        <v>10</v>
      </c>
    </row>
    <row r="153" spans="1:8">
      <c r="A153" t="s">
        <v>11</v>
      </c>
      <c r="B153" t="s">
        <v>12</v>
      </c>
    </row>
    <row r="154" spans="1:8">
      <c r="A154" t="s">
        <v>13</v>
      </c>
      <c r="B154" t="s">
        <v>108</v>
      </c>
    </row>
    <row r="155" spans="1:8">
      <c r="A155" s="1" t="s">
        <v>14</v>
      </c>
    </row>
    <row r="156" spans="1:8">
      <c r="A156" t="s">
        <v>15</v>
      </c>
      <c r="B156" t="s">
        <v>16</v>
      </c>
      <c r="C156" t="s">
        <v>17</v>
      </c>
      <c r="D156" t="s">
        <v>1</v>
      </c>
      <c r="E156" t="s">
        <v>7</v>
      </c>
      <c r="F156" t="s">
        <v>18</v>
      </c>
      <c r="G156" t="s">
        <v>5</v>
      </c>
      <c r="H156" t="s">
        <v>3</v>
      </c>
    </row>
    <row r="157" spans="1:8">
      <c r="A157" t="s">
        <v>100</v>
      </c>
      <c r="B157">
        <v>1</v>
      </c>
      <c r="C157" t="s">
        <v>1413</v>
      </c>
      <c r="D157" t="s">
        <v>20</v>
      </c>
      <c r="E157" t="s">
        <v>38</v>
      </c>
      <c r="G157" t="s">
        <v>24</v>
      </c>
      <c r="H157" t="s">
        <v>101</v>
      </c>
    </row>
    <row r="158" spans="1:8">
      <c r="A158" t="s">
        <v>1288</v>
      </c>
      <c r="B158">
        <v>0.16250000000000001</v>
      </c>
      <c r="C158" t="s">
        <v>171</v>
      </c>
      <c r="D158" t="s">
        <v>20</v>
      </c>
      <c r="E158" t="s">
        <v>38</v>
      </c>
      <c r="G158" t="s">
        <v>26</v>
      </c>
      <c r="H158" t="s">
        <v>1289</v>
      </c>
    </row>
    <row r="159" spans="1:8">
      <c r="A159" t="s">
        <v>1293</v>
      </c>
      <c r="B159">
        <v>8.5000000000000006E-2</v>
      </c>
      <c r="C159" t="s">
        <v>171</v>
      </c>
      <c r="D159" t="s">
        <v>34</v>
      </c>
      <c r="E159" t="s">
        <v>38</v>
      </c>
      <c r="G159" t="s">
        <v>26</v>
      </c>
      <c r="H159" t="s">
        <v>1294</v>
      </c>
    </row>
    <row r="160" spans="1:8">
      <c r="A160" t="s">
        <v>102</v>
      </c>
      <c r="B160">
        <v>7.4999999999999997E-2</v>
      </c>
      <c r="C160" t="s">
        <v>171</v>
      </c>
      <c r="D160" t="s">
        <v>20</v>
      </c>
      <c r="E160" t="s">
        <v>38</v>
      </c>
      <c r="G160" t="s">
        <v>26</v>
      </c>
      <c r="H160" t="s">
        <v>103</v>
      </c>
    </row>
    <row r="161" spans="1:21">
      <c r="A161" t="s">
        <v>1274</v>
      </c>
      <c r="B161">
        <v>0.04</v>
      </c>
      <c r="C161" t="s">
        <v>171</v>
      </c>
      <c r="D161" t="s">
        <v>34</v>
      </c>
      <c r="E161" t="s">
        <v>38</v>
      </c>
      <c r="G161" t="s">
        <v>26</v>
      </c>
      <c r="H161" t="s">
        <v>1275</v>
      </c>
      <c r="U161" s="4"/>
    </row>
    <row r="162" spans="1:21">
      <c r="A162" t="s">
        <v>104</v>
      </c>
      <c r="B162">
        <v>0.03</v>
      </c>
      <c r="C162" t="s">
        <v>171</v>
      </c>
      <c r="D162" t="s">
        <v>20</v>
      </c>
      <c r="E162" t="s">
        <v>38</v>
      </c>
      <c r="G162" t="s">
        <v>26</v>
      </c>
      <c r="H162" t="s">
        <v>105</v>
      </c>
    </row>
    <row r="163" spans="1:21">
      <c r="A163" t="s">
        <v>96</v>
      </c>
      <c r="B163">
        <v>0.05</v>
      </c>
      <c r="C163" t="s">
        <v>171</v>
      </c>
      <c r="D163" t="s">
        <v>20</v>
      </c>
      <c r="E163" t="s">
        <v>38</v>
      </c>
      <c r="G163" t="s">
        <v>26</v>
      </c>
      <c r="H163" t="s">
        <v>97</v>
      </c>
    </row>
    <row r="164" spans="1:21">
      <c r="A164" t="s">
        <v>1280</v>
      </c>
      <c r="B164">
        <v>1.7500000000000002E-2</v>
      </c>
      <c r="C164" t="s">
        <v>171</v>
      </c>
      <c r="D164" t="s">
        <v>20</v>
      </c>
      <c r="E164" t="s">
        <v>38</v>
      </c>
      <c r="G164" t="s">
        <v>26</v>
      </c>
      <c r="H164" t="s">
        <v>1281</v>
      </c>
    </row>
    <row r="165" spans="1:21">
      <c r="A165" t="s">
        <v>106</v>
      </c>
      <c r="B165">
        <v>0.02</v>
      </c>
      <c r="C165" t="s">
        <v>171</v>
      </c>
      <c r="D165" t="s">
        <v>34</v>
      </c>
      <c r="E165" t="s">
        <v>38</v>
      </c>
      <c r="G165" t="s">
        <v>26</v>
      </c>
      <c r="H165" t="s">
        <v>107</v>
      </c>
    </row>
    <row r="166" spans="1:21">
      <c r="A166" t="s">
        <v>1280</v>
      </c>
      <c r="B166">
        <v>6.2500000000000003E-3</v>
      </c>
      <c r="C166" t="s">
        <v>171</v>
      </c>
      <c r="D166" t="s">
        <v>20</v>
      </c>
      <c r="E166" t="s">
        <v>38</v>
      </c>
      <c r="G166" t="s">
        <v>26</v>
      </c>
      <c r="H166" t="s">
        <v>1281</v>
      </c>
    </row>
    <row r="167" spans="1:21">
      <c r="A167" t="s">
        <v>55</v>
      </c>
      <c r="B167">
        <v>0.51375000000000004</v>
      </c>
      <c r="C167" t="s">
        <v>171</v>
      </c>
      <c r="D167" t="s">
        <v>20</v>
      </c>
      <c r="E167" t="s">
        <v>38</v>
      </c>
      <c r="G167" t="s">
        <v>26</v>
      </c>
      <c r="H167" t="s">
        <v>56</v>
      </c>
    </row>
    <row r="169" spans="1:21">
      <c r="A169" s="1" t="s">
        <v>0</v>
      </c>
      <c r="B169" s="1" t="s">
        <v>109</v>
      </c>
      <c r="C169" s="1"/>
    </row>
    <row r="170" spans="1:21">
      <c r="A170" t="s">
        <v>1</v>
      </c>
      <c r="B170" t="s">
        <v>20</v>
      </c>
    </row>
    <row r="171" spans="1:21">
      <c r="A171" t="s">
        <v>2</v>
      </c>
      <c r="B171">
        <v>1</v>
      </c>
    </row>
    <row r="172" spans="1:21">
      <c r="A172" t="s">
        <v>3</v>
      </c>
      <c r="B172" t="s">
        <v>110</v>
      </c>
    </row>
    <row r="173" spans="1:21">
      <c r="A173" t="s">
        <v>5</v>
      </c>
      <c r="B173" t="s">
        <v>6</v>
      </c>
    </row>
    <row r="174" spans="1:21">
      <c r="A174" t="s">
        <v>7</v>
      </c>
      <c r="B174" t="s">
        <v>38</v>
      </c>
    </row>
    <row r="175" spans="1:21">
      <c r="A175" t="s">
        <v>9</v>
      </c>
      <c r="B175" t="s">
        <v>10</v>
      </c>
    </row>
    <row r="176" spans="1:21">
      <c r="A176" t="s">
        <v>11</v>
      </c>
      <c r="B176" t="s">
        <v>12</v>
      </c>
    </row>
    <row r="177" spans="1:8">
      <c r="A177" t="s">
        <v>13</v>
      </c>
      <c r="B177" t="s">
        <v>108</v>
      </c>
    </row>
    <row r="178" spans="1:8">
      <c r="A178" s="1" t="s">
        <v>14</v>
      </c>
    </row>
    <row r="179" spans="1:8">
      <c r="A179" t="s">
        <v>15</v>
      </c>
      <c r="B179" t="s">
        <v>16</v>
      </c>
      <c r="C179" t="s">
        <v>17</v>
      </c>
      <c r="D179" t="s">
        <v>1</v>
      </c>
      <c r="E179" t="s">
        <v>7</v>
      </c>
      <c r="F179" t="s">
        <v>18</v>
      </c>
      <c r="G179" t="s">
        <v>5</v>
      </c>
      <c r="H179" t="s">
        <v>3</v>
      </c>
    </row>
    <row r="180" spans="1:8">
      <c r="A180" t="s">
        <v>109</v>
      </c>
      <c r="B180">
        <v>1</v>
      </c>
      <c r="C180" t="s">
        <v>1413</v>
      </c>
      <c r="D180" t="s">
        <v>20</v>
      </c>
      <c r="E180" t="s">
        <v>38</v>
      </c>
      <c r="G180" t="s">
        <v>24</v>
      </c>
      <c r="H180" t="s">
        <v>110</v>
      </c>
    </row>
    <row r="181" spans="1:8">
      <c r="A181" t="s">
        <v>100</v>
      </c>
      <c r="B181">
        <v>0.156</v>
      </c>
      <c r="C181" t="s">
        <v>1413</v>
      </c>
      <c r="D181" t="s">
        <v>20</v>
      </c>
      <c r="E181" t="s">
        <v>38</v>
      </c>
      <c r="G181" t="s">
        <v>26</v>
      </c>
      <c r="H181" t="s">
        <v>101</v>
      </c>
    </row>
    <row r="182" spans="1:8">
      <c r="A182" t="s">
        <v>93</v>
      </c>
      <c r="B182">
        <v>0.84199999999999997</v>
      </c>
      <c r="C182" t="s">
        <v>1413</v>
      </c>
      <c r="D182" t="s">
        <v>20</v>
      </c>
      <c r="E182" t="s">
        <v>38</v>
      </c>
      <c r="G182" t="s">
        <v>26</v>
      </c>
      <c r="H182" t="s">
        <v>94</v>
      </c>
    </row>
    <row r="184" spans="1:8">
      <c r="A184" s="1" t="s">
        <v>0</v>
      </c>
      <c r="B184" s="1" t="s">
        <v>111</v>
      </c>
      <c r="C184" s="1"/>
    </row>
    <row r="185" spans="1:8">
      <c r="A185" t="s">
        <v>1</v>
      </c>
      <c r="B185" t="s">
        <v>20</v>
      </c>
    </row>
    <row r="186" spans="1:8">
      <c r="A186" t="s">
        <v>2</v>
      </c>
      <c r="B186">
        <v>1</v>
      </c>
    </row>
    <row r="187" spans="1:8">
      <c r="A187" t="s">
        <v>3</v>
      </c>
      <c r="B187" t="s">
        <v>112</v>
      </c>
    </row>
    <row r="188" spans="1:8">
      <c r="A188" t="s">
        <v>5</v>
      </c>
      <c r="B188" t="s">
        <v>6</v>
      </c>
    </row>
    <row r="189" spans="1:8">
      <c r="A189" t="s">
        <v>7</v>
      </c>
      <c r="B189" t="s">
        <v>38</v>
      </c>
    </row>
    <row r="190" spans="1:8">
      <c r="A190" t="s">
        <v>9</v>
      </c>
      <c r="B190" t="s">
        <v>10</v>
      </c>
    </row>
    <row r="191" spans="1:8">
      <c r="A191" t="s">
        <v>11</v>
      </c>
      <c r="B191" t="s">
        <v>12</v>
      </c>
    </row>
    <row r="192" spans="1:8">
      <c r="A192" t="s">
        <v>13</v>
      </c>
      <c r="B192" t="s">
        <v>116</v>
      </c>
    </row>
    <row r="193" spans="1:8">
      <c r="A193" s="1" t="s">
        <v>14</v>
      </c>
    </row>
    <row r="194" spans="1:8">
      <c r="A194" t="s">
        <v>15</v>
      </c>
      <c r="B194" t="s">
        <v>16</v>
      </c>
      <c r="C194" t="s">
        <v>17</v>
      </c>
      <c r="D194" t="s">
        <v>1</v>
      </c>
      <c r="E194" t="s">
        <v>7</v>
      </c>
      <c r="F194" t="s">
        <v>18</v>
      </c>
      <c r="G194" t="s">
        <v>5</v>
      </c>
      <c r="H194" t="s">
        <v>3</v>
      </c>
    </row>
    <row r="195" spans="1:8">
      <c r="A195" t="s">
        <v>111</v>
      </c>
      <c r="B195">
        <v>1</v>
      </c>
      <c r="C195" t="s">
        <v>1413</v>
      </c>
      <c r="D195" t="s">
        <v>20</v>
      </c>
      <c r="E195" t="s">
        <v>38</v>
      </c>
      <c r="G195" t="s">
        <v>24</v>
      </c>
      <c r="H195" t="s">
        <v>112</v>
      </c>
    </row>
    <row r="196" spans="1:8">
      <c r="A196" t="s">
        <v>100</v>
      </c>
      <c r="B196">
        <v>3.4000000000000002E-2</v>
      </c>
      <c r="C196" t="s">
        <v>1413</v>
      </c>
      <c r="D196" t="s">
        <v>20</v>
      </c>
      <c r="E196" t="s">
        <v>38</v>
      </c>
      <c r="G196" t="s">
        <v>26</v>
      </c>
      <c r="H196" t="s">
        <v>101</v>
      </c>
    </row>
    <row r="197" spans="1:8">
      <c r="A197" t="s">
        <v>93</v>
      </c>
      <c r="B197">
        <v>0.183</v>
      </c>
      <c r="C197" t="s">
        <v>1413</v>
      </c>
      <c r="D197" t="s">
        <v>20</v>
      </c>
      <c r="E197" t="s">
        <v>38</v>
      </c>
      <c r="G197" t="s">
        <v>26</v>
      </c>
      <c r="H197" t="s">
        <v>94</v>
      </c>
    </row>
    <row r="198" spans="1:8">
      <c r="A198" t="s">
        <v>84</v>
      </c>
      <c r="B198">
        <v>0.78100000000000003</v>
      </c>
      <c r="C198" t="s">
        <v>171</v>
      </c>
      <c r="D198" t="s">
        <v>20</v>
      </c>
      <c r="E198" t="s">
        <v>38</v>
      </c>
      <c r="G198" t="s">
        <v>26</v>
      </c>
      <c r="H198" t="s">
        <v>85</v>
      </c>
    </row>
    <row r="200" spans="1:8">
      <c r="A200" s="1" t="s">
        <v>0</v>
      </c>
      <c r="B200" s="1" t="s">
        <v>113</v>
      </c>
      <c r="C200" s="1"/>
    </row>
    <row r="201" spans="1:8">
      <c r="A201" t="s">
        <v>1</v>
      </c>
      <c r="B201" t="s">
        <v>20</v>
      </c>
    </row>
    <row r="202" spans="1:8">
      <c r="A202" t="s">
        <v>2</v>
      </c>
      <c r="B202">
        <v>1</v>
      </c>
    </row>
    <row r="203" spans="1:8">
      <c r="A203" t="s">
        <v>3</v>
      </c>
      <c r="B203" t="s">
        <v>112</v>
      </c>
    </row>
    <row r="204" spans="1:8">
      <c r="A204" t="s">
        <v>5</v>
      </c>
      <c r="B204" t="s">
        <v>6</v>
      </c>
    </row>
    <row r="205" spans="1:8">
      <c r="A205" t="s">
        <v>7</v>
      </c>
      <c r="B205" t="s">
        <v>114</v>
      </c>
    </row>
    <row r="206" spans="1:8">
      <c r="A206" t="s">
        <v>9</v>
      </c>
      <c r="B206" t="s">
        <v>10</v>
      </c>
    </row>
    <row r="207" spans="1:8">
      <c r="A207" t="s">
        <v>11</v>
      </c>
      <c r="B207" t="s">
        <v>12</v>
      </c>
    </row>
    <row r="208" spans="1:8">
      <c r="A208" t="s">
        <v>13</v>
      </c>
      <c r="B208" t="s">
        <v>115</v>
      </c>
    </row>
    <row r="209" spans="1:8">
      <c r="A209" s="1" t="s">
        <v>14</v>
      </c>
    </row>
    <row r="210" spans="1:8">
      <c r="A210" t="s">
        <v>15</v>
      </c>
      <c r="B210" t="s">
        <v>16</v>
      </c>
      <c r="C210" t="s">
        <v>17</v>
      </c>
      <c r="D210" t="s">
        <v>1</v>
      </c>
      <c r="E210" t="s">
        <v>7</v>
      </c>
      <c r="F210" t="s">
        <v>18</v>
      </c>
      <c r="G210" t="s">
        <v>5</v>
      </c>
      <c r="H210" t="s">
        <v>3</v>
      </c>
    </row>
    <row r="211" spans="1:8">
      <c r="A211" t="s">
        <v>113</v>
      </c>
      <c r="B211">
        <v>1</v>
      </c>
      <c r="C211" t="s">
        <v>1413</v>
      </c>
      <c r="D211" t="s">
        <v>20</v>
      </c>
      <c r="E211" t="s">
        <v>114</v>
      </c>
      <c r="G211" t="s">
        <v>24</v>
      </c>
      <c r="H211" t="s">
        <v>112</v>
      </c>
    </row>
    <row r="212" spans="1:8">
      <c r="A212" t="s">
        <v>109</v>
      </c>
      <c r="B212">
        <v>0.80800000000000005</v>
      </c>
      <c r="C212" t="s">
        <v>1413</v>
      </c>
      <c r="D212" t="s">
        <v>20</v>
      </c>
      <c r="E212" t="s">
        <v>38</v>
      </c>
      <c r="G212" t="s">
        <v>26</v>
      </c>
      <c r="H212" t="s">
        <v>110</v>
      </c>
    </row>
    <row r="213" spans="1:8">
      <c r="A213" t="s">
        <v>111</v>
      </c>
      <c r="B213">
        <v>1.23</v>
      </c>
      <c r="C213" t="s">
        <v>1413</v>
      </c>
      <c r="D213" t="s">
        <v>20</v>
      </c>
      <c r="E213" t="s">
        <v>38</v>
      </c>
      <c r="G213" t="s">
        <v>26</v>
      </c>
      <c r="H213" t="s">
        <v>112</v>
      </c>
    </row>
    <row r="214" spans="1:8">
      <c r="A214" t="s">
        <v>117</v>
      </c>
      <c r="B214">
        <v>12.8</v>
      </c>
      <c r="C214" t="s">
        <v>171</v>
      </c>
      <c r="D214" t="s">
        <v>20</v>
      </c>
      <c r="E214" t="s">
        <v>119</v>
      </c>
      <c r="G214" t="s">
        <v>26</v>
      </c>
      <c r="H214" t="s">
        <v>118</v>
      </c>
    </row>
    <row r="216" spans="1:8">
      <c r="A216" s="1" t="s">
        <v>0</v>
      </c>
      <c r="B216" s="1" t="s">
        <v>120</v>
      </c>
      <c r="C216" s="1"/>
    </row>
    <row r="217" spans="1:8">
      <c r="A217" t="s">
        <v>1</v>
      </c>
      <c r="B217" t="s">
        <v>20</v>
      </c>
    </row>
    <row r="218" spans="1:8">
      <c r="A218" t="s">
        <v>2</v>
      </c>
      <c r="B218">
        <v>1</v>
      </c>
    </row>
    <row r="219" spans="1:8">
      <c r="A219" t="s">
        <v>3</v>
      </c>
      <c r="B219" t="s">
        <v>120</v>
      </c>
    </row>
    <row r="220" spans="1:8">
      <c r="A220" t="s">
        <v>5</v>
      </c>
      <c r="B220" t="s">
        <v>6</v>
      </c>
    </row>
    <row r="221" spans="1:8">
      <c r="A221" t="s">
        <v>7</v>
      </c>
      <c r="B221" t="s">
        <v>114</v>
      </c>
    </row>
    <row r="222" spans="1:8">
      <c r="A222" t="s">
        <v>9</v>
      </c>
      <c r="B222" t="s">
        <v>10</v>
      </c>
    </row>
    <row r="223" spans="1:8">
      <c r="A223" t="s">
        <v>11</v>
      </c>
      <c r="B223" t="s">
        <v>12</v>
      </c>
    </row>
    <row r="224" spans="1:8">
      <c r="A224" t="s">
        <v>13</v>
      </c>
      <c r="B224" t="s">
        <v>128</v>
      </c>
    </row>
    <row r="225" spans="1:8">
      <c r="A225" s="1" t="s">
        <v>14</v>
      </c>
    </row>
    <row r="226" spans="1:8">
      <c r="A226" t="s">
        <v>15</v>
      </c>
      <c r="B226" t="s">
        <v>16</v>
      </c>
      <c r="C226" t="s">
        <v>17</v>
      </c>
      <c r="D226" t="s">
        <v>1</v>
      </c>
      <c r="E226" t="s">
        <v>7</v>
      </c>
      <c r="F226" t="s">
        <v>18</v>
      </c>
      <c r="G226" t="s">
        <v>5</v>
      </c>
      <c r="H226" t="s">
        <v>3</v>
      </c>
    </row>
    <row r="227" spans="1:8">
      <c r="A227" t="s">
        <v>120</v>
      </c>
      <c r="B227">
        <v>1</v>
      </c>
      <c r="C227" t="s">
        <v>1413</v>
      </c>
      <c r="D227" t="s">
        <v>20</v>
      </c>
      <c r="E227" t="s">
        <v>114</v>
      </c>
      <c r="G227" t="s">
        <v>24</v>
      </c>
      <c r="H227" t="s">
        <v>120</v>
      </c>
    </row>
    <row r="228" spans="1:8">
      <c r="A228" t="s">
        <v>121</v>
      </c>
      <c r="B228">
        <v>10</v>
      </c>
      <c r="C228" t="s">
        <v>171</v>
      </c>
      <c r="D228" t="s">
        <v>34</v>
      </c>
      <c r="E228" t="s">
        <v>38</v>
      </c>
      <c r="G228" t="s">
        <v>26</v>
      </c>
      <c r="H228" t="s">
        <v>122</v>
      </c>
    </row>
    <row r="229" spans="1:8">
      <c r="A229" t="s">
        <v>123</v>
      </c>
      <c r="B229">
        <v>5.8</v>
      </c>
      <c r="C229" t="s">
        <v>171</v>
      </c>
      <c r="D229" t="s">
        <v>20</v>
      </c>
      <c r="E229" t="s">
        <v>119</v>
      </c>
      <c r="G229" t="s">
        <v>26</v>
      </c>
      <c r="H229" t="s">
        <v>124</v>
      </c>
    </row>
    <row r="230" spans="1:8">
      <c r="A230" t="s">
        <v>125</v>
      </c>
      <c r="B230" s="5">
        <v>1.3499999999999999E-5</v>
      </c>
      <c r="C230" s="5" t="s">
        <v>172</v>
      </c>
      <c r="E230" t="s">
        <v>38</v>
      </c>
      <c r="F230" t="s">
        <v>127</v>
      </c>
      <c r="G230" t="s">
        <v>126</v>
      </c>
    </row>
    <row r="232" spans="1:8">
      <c r="A232" s="1" t="s">
        <v>0</v>
      </c>
      <c r="B232" s="1" t="s">
        <v>129</v>
      </c>
      <c r="C232" s="1"/>
    </row>
    <row r="233" spans="1:8">
      <c r="A233" t="s">
        <v>1</v>
      </c>
      <c r="B233" t="s">
        <v>20</v>
      </c>
    </row>
    <row r="234" spans="1:8">
      <c r="A234" t="s">
        <v>2</v>
      </c>
      <c r="B234">
        <v>1</v>
      </c>
    </row>
    <row r="235" spans="1:8">
      <c r="A235" t="s">
        <v>3</v>
      </c>
      <c r="B235" t="s">
        <v>129</v>
      </c>
    </row>
    <row r="236" spans="1:8">
      <c r="A236" t="s">
        <v>5</v>
      </c>
      <c r="B236" t="s">
        <v>6</v>
      </c>
    </row>
    <row r="237" spans="1:8">
      <c r="A237" t="s">
        <v>7</v>
      </c>
      <c r="B237" t="s">
        <v>114</v>
      </c>
    </row>
    <row r="238" spans="1:8">
      <c r="A238" t="s">
        <v>9</v>
      </c>
      <c r="B238" t="s">
        <v>10</v>
      </c>
    </row>
    <row r="239" spans="1:8">
      <c r="A239" t="s">
        <v>11</v>
      </c>
      <c r="B239" t="s">
        <v>12</v>
      </c>
    </row>
    <row r="240" spans="1:8">
      <c r="A240" t="s">
        <v>13</v>
      </c>
      <c r="B240" t="s">
        <v>128</v>
      </c>
    </row>
    <row r="241" spans="1:8">
      <c r="A241" s="1" t="s">
        <v>14</v>
      </c>
    </row>
    <row r="242" spans="1:8">
      <c r="A242" t="s">
        <v>15</v>
      </c>
      <c r="B242" t="s">
        <v>16</v>
      </c>
      <c r="C242" t="s">
        <v>17</v>
      </c>
      <c r="D242" t="s">
        <v>1</v>
      </c>
      <c r="E242" t="s">
        <v>7</v>
      </c>
      <c r="F242" t="s">
        <v>18</v>
      </c>
      <c r="G242" t="s">
        <v>5</v>
      </c>
      <c r="H242" t="s">
        <v>3</v>
      </c>
    </row>
    <row r="243" spans="1:8">
      <c r="A243" t="s">
        <v>129</v>
      </c>
      <c r="B243">
        <v>1</v>
      </c>
      <c r="C243" t="s">
        <v>1413</v>
      </c>
      <c r="D243" t="s">
        <v>20</v>
      </c>
      <c r="E243" t="s">
        <v>114</v>
      </c>
      <c r="G243" t="s">
        <v>24</v>
      </c>
      <c r="H243" t="s">
        <v>129</v>
      </c>
    </row>
    <row r="244" spans="1:8">
      <c r="A244" t="s">
        <v>130</v>
      </c>
      <c r="B244">
        <v>50</v>
      </c>
      <c r="C244" t="s">
        <v>171</v>
      </c>
      <c r="D244" t="s">
        <v>20</v>
      </c>
      <c r="E244" t="s">
        <v>131</v>
      </c>
      <c r="G244" t="s">
        <v>26</v>
      </c>
      <c r="H244" t="s">
        <v>130</v>
      </c>
    </row>
    <row r="246" spans="1:8">
      <c r="A246" s="1" t="s">
        <v>0</v>
      </c>
      <c r="B246" s="1" t="s">
        <v>133</v>
      </c>
      <c r="C246" s="1"/>
    </row>
    <row r="247" spans="1:8">
      <c r="A247" t="s">
        <v>1</v>
      </c>
      <c r="B247" t="s">
        <v>20</v>
      </c>
    </row>
    <row r="248" spans="1:8">
      <c r="A248" t="s">
        <v>2</v>
      </c>
      <c r="B248">
        <v>1</v>
      </c>
    </row>
    <row r="249" spans="1:8">
      <c r="A249" t="s">
        <v>3</v>
      </c>
      <c r="B249" t="s">
        <v>132</v>
      </c>
    </row>
    <row r="250" spans="1:8">
      <c r="A250" t="s">
        <v>5</v>
      </c>
      <c r="B250" t="s">
        <v>6</v>
      </c>
    </row>
    <row r="251" spans="1:8">
      <c r="A251" t="s">
        <v>7</v>
      </c>
      <c r="B251" t="s">
        <v>7</v>
      </c>
    </row>
    <row r="252" spans="1:8">
      <c r="A252" t="s">
        <v>9</v>
      </c>
      <c r="B252" t="s">
        <v>10</v>
      </c>
    </row>
    <row r="253" spans="1:8">
      <c r="A253" t="s">
        <v>11</v>
      </c>
      <c r="B253" t="s">
        <v>12</v>
      </c>
    </row>
    <row r="254" spans="1:8">
      <c r="A254" t="s">
        <v>13</v>
      </c>
      <c r="B254" t="s">
        <v>128</v>
      </c>
    </row>
    <row r="255" spans="1:8">
      <c r="A255" s="1" t="s">
        <v>14</v>
      </c>
    </row>
    <row r="256" spans="1:8">
      <c r="A256" t="s">
        <v>15</v>
      </c>
      <c r="B256" t="s">
        <v>16</v>
      </c>
      <c r="C256" t="s">
        <v>17</v>
      </c>
      <c r="D256" t="s">
        <v>1</v>
      </c>
      <c r="E256" t="s">
        <v>7</v>
      </c>
      <c r="F256" t="s">
        <v>18</v>
      </c>
      <c r="G256" t="s">
        <v>5</v>
      </c>
      <c r="H256" t="s">
        <v>3</v>
      </c>
    </row>
    <row r="257" spans="1:8">
      <c r="A257" t="s">
        <v>133</v>
      </c>
      <c r="B257">
        <v>1</v>
      </c>
      <c r="C257" t="s">
        <v>1413</v>
      </c>
      <c r="D257" t="s">
        <v>20</v>
      </c>
      <c r="E257" t="s">
        <v>7</v>
      </c>
      <c r="G257" t="s">
        <v>24</v>
      </c>
      <c r="H257" t="s">
        <v>132</v>
      </c>
    </row>
    <row r="258" spans="1:8">
      <c r="A258" t="s">
        <v>167</v>
      </c>
      <c r="B258">
        <v>6</v>
      </c>
      <c r="C258" t="s">
        <v>171</v>
      </c>
      <c r="D258" t="s">
        <v>34</v>
      </c>
      <c r="E258" t="s">
        <v>7</v>
      </c>
      <c r="G258" t="s">
        <v>26</v>
      </c>
      <c r="H258" t="s">
        <v>168</v>
      </c>
    </row>
    <row r="259" spans="1:8">
      <c r="A259" t="s">
        <v>90</v>
      </c>
      <c r="B259">
        <v>1</v>
      </c>
      <c r="C259" t="s">
        <v>1413</v>
      </c>
      <c r="D259" t="s">
        <v>20</v>
      </c>
      <c r="E259" t="s">
        <v>7</v>
      </c>
      <c r="G259" t="s">
        <v>26</v>
      </c>
      <c r="H259" t="s">
        <v>91</v>
      </c>
    </row>
    <row r="260" spans="1:8">
      <c r="A260" t="s">
        <v>37</v>
      </c>
      <c r="B260">
        <v>1</v>
      </c>
      <c r="C260" t="s">
        <v>1413</v>
      </c>
      <c r="D260" t="s">
        <v>20</v>
      </c>
      <c r="E260" t="s">
        <v>7</v>
      </c>
      <c r="G260" t="s">
        <v>26</v>
      </c>
      <c r="H260" t="s">
        <v>36</v>
      </c>
    </row>
    <row r="262" spans="1:8">
      <c r="A262" s="1" t="s">
        <v>0</v>
      </c>
      <c r="B262" s="1" t="s">
        <v>134</v>
      </c>
      <c r="C262" s="1"/>
    </row>
    <row r="263" spans="1:8">
      <c r="A263" t="s">
        <v>1</v>
      </c>
      <c r="B263" t="s">
        <v>20</v>
      </c>
    </row>
    <row r="264" spans="1:8">
      <c r="A264" t="s">
        <v>2</v>
      </c>
      <c r="B264">
        <v>1</v>
      </c>
    </row>
    <row r="265" spans="1:8">
      <c r="A265" t="s">
        <v>3</v>
      </c>
      <c r="B265" t="s">
        <v>135</v>
      </c>
    </row>
    <row r="266" spans="1:8">
      <c r="A266" t="s">
        <v>5</v>
      </c>
      <c r="B266" t="s">
        <v>6</v>
      </c>
    </row>
    <row r="267" spans="1:8">
      <c r="A267" t="s">
        <v>7</v>
      </c>
      <c r="B267" t="s">
        <v>7</v>
      </c>
    </row>
    <row r="268" spans="1:8">
      <c r="A268" t="s">
        <v>9</v>
      </c>
      <c r="B268" t="s">
        <v>10</v>
      </c>
    </row>
    <row r="269" spans="1:8">
      <c r="A269" t="s">
        <v>11</v>
      </c>
      <c r="B269" t="s">
        <v>12</v>
      </c>
    </row>
    <row r="270" spans="1:8">
      <c r="A270" t="s">
        <v>13</v>
      </c>
      <c r="B270" t="s">
        <v>136</v>
      </c>
    </row>
    <row r="271" spans="1:8">
      <c r="A271" s="1" t="s">
        <v>14</v>
      </c>
    </row>
    <row r="272" spans="1:8">
      <c r="A272" t="s">
        <v>15</v>
      </c>
      <c r="B272" t="s">
        <v>16</v>
      </c>
      <c r="C272" t="s">
        <v>17</v>
      </c>
      <c r="D272" t="s">
        <v>1</v>
      </c>
      <c r="E272" t="s">
        <v>7</v>
      </c>
      <c r="F272" t="s">
        <v>18</v>
      </c>
      <c r="G272" t="s">
        <v>5</v>
      </c>
      <c r="H272" t="s">
        <v>3</v>
      </c>
    </row>
    <row r="273" spans="1:8">
      <c r="A273" t="s">
        <v>134</v>
      </c>
      <c r="B273">
        <v>1</v>
      </c>
      <c r="C273" t="s">
        <v>1413</v>
      </c>
      <c r="D273" t="s">
        <v>20</v>
      </c>
      <c r="E273" t="s">
        <v>7</v>
      </c>
      <c r="G273" t="s">
        <v>24</v>
      </c>
      <c r="H273" t="s">
        <v>135</v>
      </c>
    </row>
    <row r="274" spans="1:8">
      <c r="A274" t="s">
        <v>39</v>
      </c>
      <c r="B274">
        <v>221982</v>
      </c>
      <c r="C274" t="s">
        <v>171</v>
      </c>
      <c r="D274" t="s">
        <v>34</v>
      </c>
      <c r="E274" t="s">
        <v>38</v>
      </c>
      <c r="G274" t="s">
        <v>26</v>
      </c>
      <c r="H274" t="s">
        <v>40</v>
      </c>
    </row>
    <row r="275" spans="1:8">
      <c r="A275" t="s">
        <v>162</v>
      </c>
      <c r="B275">
        <v>345901</v>
      </c>
      <c r="C275" t="s">
        <v>171</v>
      </c>
      <c r="D275" t="s">
        <v>34</v>
      </c>
      <c r="E275" t="s">
        <v>38</v>
      </c>
      <c r="G275" t="s">
        <v>26</v>
      </c>
      <c r="H275" t="s">
        <v>163</v>
      </c>
    </row>
    <row r="276" spans="1:8">
      <c r="A276" t="s">
        <v>137</v>
      </c>
      <c r="B276">
        <v>475722</v>
      </c>
      <c r="C276" t="s">
        <v>171</v>
      </c>
      <c r="D276" t="s">
        <v>155</v>
      </c>
      <c r="E276" t="s">
        <v>38</v>
      </c>
      <c r="G276" t="s">
        <v>26</v>
      </c>
      <c r="H276" t="s">
        <v>138</v>
      </c>
    </row>
    <row r="277" spans="1:8">
      <c r="A277" t="s">
        <v>139</v>
      </c>
      <c r="B277">
        <v>550</v>
      </c>
      <c r="C277" t="s">
        <v>171</v>
      </c>
      <c r="D277" t="s">
        <v>34</v>
      </c>
      <c r="E277" t="s">
        <v>38</v>
      </c>
      <c r="G277" t="s">
        <v>26</v>
      </c>
      <c r="H277" t="s">
        <v>140</v>
      </c>
    </row>
    <row r="278" spans="1:8">
      <c r="A278" t="s">
        <v>65</v>
      </c>
      <c r="B278">
        <v>416</v>
      </c>
      <c r="C278" t="s">
        <v>171</v>
      </c>
      <c r="D278" t="s">
        <v>20</v>
      </c>
      <c r="E278" t="s">
        <v>38</v>
      </c>
      <c r="G278" t="s">
        <v>26</v>
      </c>
      <c r="H278" t="s">
        <v>66</v>
      </c>
    </row>
    <row r="279" spans="1:8">
      <c r="A279" t="s">
        <v>141</v>
      </c>
      <c r="B279">
        <f>3.5*50</f>
        <v>175</v>
      </c>
      <c r="C279" t="s">
        <v>171</v>
      </c>
      <c r="D279" t="s">
        <v>20</v>
      </c>
      <c r="E279" t="s">
        <v>38</v>
      </c>
      <c r="G279" t="s">
        <v>26</v>
      </c>
      <c r="H279" t="s">
        <v>142</v>
      </c>
    </row>
    <row r="280" spans="1:8">
      <c r="A280" t="s">
        <v>143</v>
      </c>
      <c r="B280">
        <v>90</v>
      </c>
      <c r="C280" t="s">
        <v>171</v>
      </c>
      <c r="D280" t="s">
        <v>34</v>
      </c>
      <c r="E280" t="s">
        <v>38</v>
      </c>
      <c r="G280" t="s">
        <v>26</v>
      </c>
      <c r="H280" t="s">
        <v>144</v>
      </c>
    </row>
    <row r="281" spans="1:8">
      <c r="A281" t="s">
        <v>1282</v>
      </c>
      <c r="B281">
        <v>55</v>
      </c>
      <c r="C281" t="s">
        <v>171</v>
      </c>
      <c r="D281" t="s">
        <v>20</v>
      </c>
      <c r="E281" t="s">
        <v>38</v>
      </c>
      <c r="G281" t="s">
        <v>26</v>
      </c>
      <c r="H281" t="s">
        <v>1283</v>
      </c>
    </row>
    <row r="282" spans="1:8">
      <c r="A282" t="s">
        <v>145</v>
      </c>
      <c r="B282">
        <v>6383</v>
      </c>
      <c r="C282" t="s">
        <v>171</v>
      </c>
      <c r="D282" t="s">
        <v>34</v>
      </c>
      <c r="E282" t="s">
        <v>38</v>
      </c>
      <c r="G282" t="s">
        <v>26</v>
      </c>
      <c r="H282" t="s">
        <v>146</v>
      </c>
    </row>
    <row r="283" spans="1:8">
      <c r="A283" t="s">
        <v>147</v>
      </c>
      <c r="B283">
        <v>460</v>
      </c>
      <c r="C283" t="s">
        <v>171</v>
      </c>
      <c r="D283" t="s">
        <v>34</v>
      </c>
      <c r="E283" t="s">
        <v>38</v>
      </c>
      <c r="G283" t="s">
        <v>26</v>
      </c>
      <c r="H283" t="s">
        <v>150</v>
      </c>
    </row>
    <row r="284" spans="1:8">
      <c r="A284" t="s">
        <v>148</v>
      </c>
      <c r="B284">
        <v>55</v>
      </c>
      <c r="C284" t="s">
        <v>171</v>
      </c>
      <c r="D284" t="s">
        <v>34</v>
      </c>
      <c r="E284" t="s">
        <v>38</v>
      </c>
      <c r="G284" t="s">
        <v>26</v>
      </c>
      <c r="H284" t="s">
        <v>149</v>
      </c>
    </row>
    <row r="285" spans="1:8">
      <c r="A285" t="s">
        <v>151</v>
      </c>
      <c r="B285">
        <v>53924</v>
      </c>
      <c r="C285" t="s">
        <v>171</v>
      </c>
      <c r="D285" t="s">
        <v>34</v>
      </c>
      <c r="E285" t="s">
        <v>38</v>
      </c>
      <c r="G285" t="s">
        <v>26</v>
      </c>
      <c r="H285" t="s">
        <v>152</v>
      </c>
    </row>
    <row r="286" spans="1:8">
      <c r="A286" t="s">
        <v>130</v>
      </c>
      <c r="B286">
        <v>1995</v>
      </c>
      <c r="C286" t="s">
        <v>171</v>
      </c>
      <c r="D286" t="s">
        <v>20</v>
      </c>
      <c r="E286" t="s">
        <v>131</v>
      </c>
      <c r="G286" t="s">
        <v>26</v>
      </c>
      <c r="H286" t="s">
        <v>130</v>
      </c>
    </row>
    <row r="287" spans="1:8">
      <c r="A287" t="s">
        <v>129</v>
      </c>
      <c r="B287">
        <v>41</v>
      </c>
      <c r="C287" t="s">
        <v>1413</v>
      </c>
      <c r="D287" t="s">
        <v>20</v>
      </c>
      <c r="E287" t="s">
        <v>114</v>
      </c>
      <c r="G287" t="s">
        <v>26</v>
      </c>
      <c r="H287" t="s">
        <v>129</v>
      </c>
    </row>
    <row r="288" spans="1:8">
      <c r="A288" t="s">
        <v>120</v>
      </c>
      <c r="B288">
        <v>2025</v>
      </c>
      <c r="C288" t="s">
        <v>1413</v>
      </c>
      <c r="D288" t="s">
        <v>20</v>
      </c>
      <c r="E288" t="s">
        <v>114</v>
      </c>
      <c r="G288" t="s">
        <v>26</v>
      </c>
      <c r="H288" t="s">
        <v>120</v>
      </c>
    </row>
    <row r="289" spans="1:8">
      <c r="A289" t="s">
        <v>113</v>
      </c>
      <c r="B289">
        <v>2025</v>
      </c>
      <c r="C289" t="s">
        <v>1413</v>
      </c>
      <c r="D289" t="s">
        <v>20</v>
      </c>
      <c r="E289" t="s">
        <v>114</v>
      </c>
      <c r="G289" t="s">
        <v>26</v>
      </c>
      <c r="H289" t="s">
        <v>112</v>
      </c>
    </row>
    <row r="290" spans="1:8">
      <c r="A290" t="s">
        <v>133</v>
      </c>
      <c r="B290">
        <v>1</v>
      </c>
      <c r="C290" t="s">
        <v>1413</v>
      </c>
      <c r="D290" t="s">
        <v>20</v>
      </c>
      <c r="E290" t="s">
        <v>7</v>
      </c>
      <c r="G290" t="s">
        <v>26</v>
      </c>
      <c r="H290" t="s">
        <v>132</v>
      </c>
    </row>
    <row r="291" spans="1:8">
      <c r="A291" t="s">
        <v>19</v>
      </c>
      <c r="B291">
        <v>120</v>
      </c>
      <c r="C291" t="s">
        <v>1413</v>
      </c>
      <c r="D291" t="s">
        <v>20</v>
      </c>
      <c r="E291" t="s">
        <v>21</v>
      </c>
      <c r="G291" t="s">
        <v>26</v>
      </c>
      <c r="H291" t="s">
        <v>22</v>
      </c>
    </row>
    <row r="292" spans="1:8">
      <c r="A292" t="s">
        <v>29</v>
      </c>
      <c r="B292">
        <v>14.1</v>
      </c>
      <c r="C292" t="s">
        <v>1413</v>
      </c>
      <c r="D292" t="s">
        <v>20</v>
      </c>
      <c r="E292" t="s">
        <v>21</v>
      </c>
      <c r="G292" t="s">
        <v>26</v>
      </c>
      <c r="H292" t="s">
        <v>29</v>
      </c>
    </row>
    <row r="293" spans="1:8">
      <c r="A293" t="s">
        <v>1259</v>
      </c>
      <c r="B293">
        <f>(11.83*113000)</f>
        <v>1336790</v>
      </c>
      <c r="C293" t="s">
        <v>171</v>
      </c>
      <c r="D293" t="s">
        <v>20</v>
      </c>
      <c r="E293" t="s">
        <v>35</v>
      </c>
      <c r="G293" t="s">
        <v>26</v>
      </c>
      <c r="H293" t="s">
        <v>1259</v>
      </c>
    </row>
    <row r="294" spans="1:8">
      <c r="A294" t="s">
        <v>1259</v>
      </c>
      <c r="B294">
        <f>4*113000</f>
        <v>452000</v>
      </c>
      <c r="C294" t="s">
        <v>171</v>
      </c>
      <c r="D294" t="s">
        <v>20</v>
      </c>
      <c r="E294" t="s">
        <v>35</v>
      </c>
      <c r="G294" t="s">
        <v>26</v>
      </c>
      <c r="H294" t="s">
        <v>1259</v>
      </c>
    </row>
    <row r="295" spans="1:8">
      <c r="A295" t="s">
        <v>1259</v>
      </c>
      <c r="B295">
        <f>(2.5*113000)</f>
        <v>282500</v>
      </c>
      <c r="C295" t="s">
        <v>171</v>
      </c>
      <c r="D295" t="s">
        <v>20</v>
      </c>
      <c r="E295" t="s">
        <v>35</v>
      </c>
      <c r="G295" t="s">
        <v>26</v>
      </c>
      <c r="H295" t="s">
        <v>1259</v>
      </c>
    </row>
    <row r="296" spans="1:8">
      <c r="A296" t="s">
        <v>1265</v>
      </c>
      <c r="B296">
        <f>(11.83+4+2.5)*663000</f>
        <v>12152789.999999998</v>
      </c>
      <c r="C296" t="s">
        <v>171</v>
      </c>
      <c r="D296" t="s">
        <v>34</v>
      </c>
      <c r="E296" t="s">
        <v>35</v>
      </c>
      <c r="G296" t="s">
        <v>26</v>
      </c>
      <c r="H296" t="s">
        <v>1266</v>
      </c>
    </row>
    <row r="297" spans="1:8">
      <c r="A297" t="s">
        <v>1265</v>
      </c>
      <c r="B297">
        <f>(24+8.5)*5780000</f>
        <v>187850000</v>
      </c>
      <c r="C297" t="s">
        <v>171</v>
      </c>
      <c r="D297" t="s">
        <v>34</v>
      </c>
      <c r="E297" t="s">
        <v>35</v>
      </c>
      <c r="G297" t="s">
        <v>26</v>
      </c>
      <c r="H297" t="s">
        <v>1266</v>
      </c>
    </row>
    <row r="298" spans="1:8">
      <c r="A298" t="s">
        <v>1265</v>
      </c>
      <c r="B298">
        <f>1.33*194000</f>
        <v>258020</v>
      </c>
      <c r="C298" t="s">
        <v>171</v>
      </c>
      <c r="D298" t="s">
        <v>34</v>
      </c>
      <c r="E298" t="s">
        <v>35</v>
      </c>
      <c r="G298" t="s">
        <v>26</v>
      </c>
      <c r="H298" t="s">
        <v>1266</v>
      </c>
    </row>
    <row r="299" spans="1:8">
      <c r="A299" t="s">
        <v>1273</v>
      </c>
      <c r="B299">
        <f>SUM(B274:B275,B277)*-1</f>
        <v>-568433</v>
      </c>
      <c r="C299" t="s">
        <v>171</v>
      </c>
      <c r="D299" t="s">
        <v>169</v>
      </c>
      <c r="E299" t="s">
        <v>38</v>
      </c>
      <c r="G299" t="s">
        <v>26</v>
      </c>
      <c r="H299" t="s">
        <v>1272</v>
      </c>
    </row>
    <row r="300" spans="1:8">
      <c r="A300" t="s">
        <v>153</v>
      </c>
      <c r="B300">
        <f>B279*-1</f>
        <v>-175</v>
      </c>
      <c r="C300" t="s">
        <v>171</v>
      </c>
      <c r="D300" t="s">
        <v>155</v>
      </c>
      <c r="E300" t="s">
        <v>38</v>
      </c>
      <c r="G300" t="s">
        <v>26</v>
      </c>
      <c r="H300" t="s">
        <v>154</v>
      </c>
    </row>
    <row r="301" spans="1:8">
      <c r="A301" t="s">
        <v>156</v>
      </c>
      <c r="B301">
        <f>B281*-1</f>
        <v>-55</v>
      </c>
      <c r="C301" t="s">
        <v>171</v>
      </c>
      <c r="D301" t="s">
        <v>155</v>
      </c>
      <c r="E301" t="s">
        <v>38</v>
      </c>
      <c r="G301" t="s">
        <v>26</v>
      </c>
      <c r="H301" t="s">
        <v>157</v>
      </c>
    </row>
    <row r="303" spans="1:8">
      <c r="A303" s="1" t="s">
        <v>0</v>
      </c>
      <c r="B303" s="1" t="s">
        <v>158</v>
      </c>
      <c r="C303" s="1"/>
    </row>
    <row r="304" spans="1:8">
      <c r="A304" t="s">
        <v>1</v>
      </c>
      <c r="B304" t="s">
        <v>194</v>
      </c>
    </row>
    <row r="305" spans="1:8">
      <c r="A305" t="s">
        <v>2</v>
      </c>
      <c r="B305">
        <v>1</v>
      </c>
    </row>
    <row r="306" spans="1:8">
      <c r="A306" t="s">
        <v>3</v>
      </c>
      <c r="B306" t="s">
        <v>159</v>
      </c>
    </row>
    <row r="307" spans="1:8">
      <c r="A307" t="s">
        <v>5</v>
      </c>
      <c r="B307" t="s">
        <v>6</v>
      </c>
    </row>
    <row r="308" spans="1:8">
      <c r="A308" t="s">
        <v>7</v>
      </c>
      <c r="B308" t="s">
        <v>8</v>
      </c>
    </row>
    <row r="309" spans="1:8">
      <c r="A309" t="s">
        <v>9</v>
      </c>
      <c r="B309" t="s">
        <v>10</v>
      </c>
    </row>
    <row r="310" spans="1:8">
      <c r="A310" t="s">
        <v>11</v>
      </c>
      <c r="B310" t="s">
        <v>12</v>
      </c>
    </row>
    <row r="311" spans="1:8">
      <c r="A311" t="s">
        <v>13</v>
      </c>
      <c r="B311" t="s">
        <v>136</v>
      </c>
    </row>
    <row r="312" spans="1:8">
      <c r="A312" s="1" t="s">
        <v>14</v>
      </c>
    </row>
    <row r="313" spans="1:8">
      <c r="A313" t="s">
        <v>15</v>
      </c>
      <c r="B313" t="s">
        <v>16</v>
      </c>
      <c r="C313" t="s">
        <v>17</v>
      </c>
      <c r="D313" t="s">
        <v>1</v>
      </c>
      <c r="E313" t="s">
        <v>7</v>
      </c>
      <c r="F313" t="s">
        <v>18</v>
      </c>
      <c r="G313" t="s">
        <v>5</v>
      </c>
      <c r="H313" t="s">
        <v>3</v>
      </c>
    </row>
    <row r="314" spans="1:8">
      <c r="A314" t="s">
        <v>158</v>
      </c>
      <c r="B314">
        <v>1</v>
      </c>
      <c r="C314" t="s">
        <v>1413</v>
      </c>
      <c r="D314" t="s">
        <v>194</v>
      </c>
      <c r="E314" t="s">
        <v>8</v>
      </c>
      <c r="G314" t="s">
        <v>24</v>
      </c>
      <c r="H314" t="s">
        <v>159</v>
      </c>
    </row>
    <row r="315" spans="1:8">
      <c r="A315" t="s">
        <v>134</v>
      </c>
      <c r="B315">
        <f>1/(2.97*1000000*20)</f>
        <v>1.6835016835016835E-8</v>
      </c>
      <c r="C315" t="s">
        <v>1413</v>
      </c>
      <c r="D315" t="s">
        <v>20</v>
      </c>
      <c r="E315" t="s">
        <v>7</v>
      </c>
      <c r="G315" t="s">
        <v>26</v>
      </c>
      <c r="H315" t="s">
        <v>135</v>
      </c>
    </row>
  </sheetData>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23C9-B123-4732-A96C-11F6E2797B00}">
  <dimension ref="A1:I56"/>
  <sheetViews>
    <sheetView workbookViewId="0">
      <selection activeCell="G12" sqref="G12"/>
    </sheetView>
  </sheetViews>
  <sheetFormatPr defaultColWidth="10.58203125" defaultRowHeight="15.5"/>
  <cols>
    <col min="1" max="1" width="48.33203125" bestFit="1" customWidth="1"/>
    <col min="6" max="6" width="39.83203125" bestFit="1" customWidth="1"/>
    <col min="7" max="7" width="24.08203125" bestFit="1" customWidth="1"/>
  </cols>
  <sheetData>
    <row r="1" spans="1:9">
      <c r="A1" s="7" t="s">
        <v>0</v>
      </c>
      <c r="B1" s="23" t="s">
        <v>1008</v>
      </c>
      <c r="C1" s="12"/>
      <c r="D1" s="13"/>
      <c r="E1" s="13"/>
      <c r="F1" s="13"/>
      <c r="G1" s="13"/>
      <c r="H1" s="13"/>
      <c r="I1" s="14"/>
    </row>
    <row r="2" spans="1:9">
      <c r="A2" s="8" t="s">
        <v>2</v>
      </c>
      <c r="B2" s="25">
        <v>1</v>
      </c>
      <c r="C2" s="13"/>
      <c r="D2" s="13"/>
      <c r="E2" s="13"/>
      <c r="F2" s="13"/>
      <c r="G2" s="13"/>
      <c r="H2" s="13"/>
      <c r="I2" s="14"/>
    </row>
    <row r="3" spans="1:9">
      <c r="A3" s="8" t="s">
        <v>13</v>
      </c>
      <c r="B3" s="15" t="s">
        <v>1009</v>
      </c>
      <c r="C3" s="13"/>
      <c r="D3" s="13"/>
      <c r="E3" s="13"/>
      <c r="F3" s="13"/>
      <c r="G3" s="13"/>
      <c r="H3" s="13"/>
      <c r="I3" s="14"/>
    </row>
    <row r="4" spans="1:9">
      <c r="A4" s="8" t="s">
        <v>3</v>
      </c>
      <c r="B4" t="s">
        <v>159</v>
      </c>
      <c r="C4" s="13"/>
      <c r="D4" s="13"/>
      <c r="E4" s="13"/>
      <c r="F4" s="13"/>
      <c r="G4" s="13"/>
      <c r="H4" s="13"/>
      <c r="I4" s="14"/>
    </row>
    <row r="5" spans="1:9">
      <c r="A5" s="8" t="s">
        <v>1</v>
      </c>
      <c r="B5" s="15" t="s">
        <v>194</v>
      </c>
      <c r="C5" s="13"/>
      <c r="D5" s="13"/>
      <c r="E5" s="13"/>
      <c r="F5" s="13"/>
      <c r="G5" s="13"/>
      <c r="H5" s="13"/>
      <c r="I5" s="14"/>
    </row>
    <row r="6" spans="1:9">
      <c r="A6" s="24" t="s">
        <v>5</v>
      </c>
      <c r="B6" s="15" t="s">
        <v>6</v>
      </c>
      <c r="C6" s="13"/>
      <c r="D6" s="13"/>
      <c r="E6" s="13"/>
      <c r="F6" s="13"/>
      <c r="G6" s="13"/>
      <c r="H6" s="13"/>
      <c r="I6" s="14"/>
    </row>
    <row r="7" spans="1:9">
      <c r="A7" s="8" t="s">
        <v>7</v>
      </c>
      <c r="B7" t="s">
        <v>8</v>
      </c>
      <c r="C7" s="13"/>
      <c r="D7" s="13"/>
      <c r="E7" s="13"/>
      <c r="F7" s="13"/>
      <c r="G7" s="13"/>
      <c r="H7" s="16"/>
      <c r="I7" s="17"/>
    </row>
    <row r="8" spans="1:9">
      <c r="A8" s="16" t="s">
        <v>14</v>
      </c>
      <c r="B8" s="11"/>
      <c r="C8" s="16"/>
      <c r="D8" s="16"/>
      <c r="E8" s="16"/>
      <c r="F8" s="16"/>
      <c r="G8" s="16"/>
      <c r="H8" s="12"/>
      <c r="I8" s="18"/>
    </row>
    <row r="9" spans="1:9">
      <c r="A9" t="s">
        <v>15</v>
      </c>
      <c r="B9" s="5" t="s">
        <v>16</v>
      </c>
      <c r="C9" t="s">
        <v>17</v>
      </c>
      <c r="D9" t="s">
        <v>1</v>
      </c>
      <c r="E9" t="s">
        <v>7</v>
      </c>
      <c r="F9" t="s">
        <v>5</v>
      </c>
      <c r="G9" t="s">
        <v>3</v>
      </c>
      <c r="H9" t="s">
        <v>18</v>
      </c>
      <c r="I9" s="19" t="s">
        <v>13</v>
      </c>
    </row>
    <row r="10" spans="1:9">
      <c r="A10" s="22" t="s">
        <v>1008</v>
      </c>
      <c r="B10" s="5">
        <v>1</v>
      </c>
      <c r="C10" t="s">
        <v>1413</v>
      </c>
      <c r="D10" t="s">
        <v>194</v>
      </c>
      <c r="E10" t="s">
        <v>8</v>
      </c>
      <c r="F10" t="s">
        <v>24</v>
      </c>
      <c r="G10" t="s">
        <v>159</v>
      </c>
      <c r="H10" s="12"/>
      <c r="I10" s="18"/>
    </row>
    <row r="11" spans="1:9">
      <c r="A11" s="26" t="s">
        <v>1007</v>
      </c>
      <c r="B11" s="5">
        <v>1.43</v>
      </c>
      <c r="C11" t="s">
        <v>1413</v>
      </c>
      <c r="D11" t="s">
        <v>194</v>
      </c>
      <c r="E11" t="s">
        <v>8</v>
      </c>
      <c r="F11" t="s">
        <v>26</v>
      </c>
      <c r="G11" t="s">
        <v>159</v>
      </c>
      <c r="I11" s="6"/>
    </row>
    <row r="12" spans="1:9">
      <c r="A12" t="s">
        <v>1010</v>
      </c>
      <c r="B12" s="5">
        <v>4.0404040404040398E-13</v>
      </c>
      <c r="C12" t="s">
        <v>171</v>
      </c>
      <c r="D12" t="s">
        <v>20</v>
      </c>
      <c r="E12" t="s">
        <v>7</v>
      </c>
      <c r="F12" t="s">
        <v>26</v>
      </c>
    </row>
    <row r="13" spans="1:9">
      <c r="A13" t="s">
        <v>275</v>
      </c>
      <c r="B13" s="5">
        <v>7.5599999999999996E-6</v>
      </c>
      <c r="C13" t="s">
        <v>171</v>
      </c>
      <c r="D13" t="s">
        <v>20</v>
      </c>
      <c r="E13" t="s">
        <v>38</v>
      </c>
      <c r="F13" t="s">
        <v>26</v>
      </c>
    </row>
    <row r="14" spans="1:9">
      <c r="A14" t="s">
        <v>574</v>
      </c>
      <c r="B14" s="5">
        <v>-7.5599999999999996E-6</v>
      </c>
      <c r="C14" t="s">
        <v>171</v>
      </c>
      <c r="D14" t="s">
        <v>169</v>
      </c>
      <c r="E14" t="s">
        <v>38</v>
      </c>
      <c r="F14" t="s">
        <v>26</v>
      </c>
    </row>
    <row r="15" spans="1:9">
      <c r="A15" t="s">
        <v>956</v>
      </c>
      <c r="B15" s="5">
        <v>7.7000000000000001E-8</v>
      </c>
      <c r="C15" t="s">
        <v>172</v>
      </c>
      <c r="E15" t="s">
        <v>38</v>
      </c>
      <c r="F15" t="s">
        <v>126</v>
      </c>
      <c r="H15" t="s">
        <v>212</v>
      </c>
    </row>
    <row r="16" spans="1:9">
      <c r="A16" t="s">
        <v>1011</v>
      </c>
      <c r="B16" s="5">
        <v>1.4E-5</v>
      </c>
      <c r="C16" t="s">
        <v>172</v>
      </c>
      <c r="E16" t="s">
        <v>38</v>
      </c>
      <c r="F16" t="s">
        <v>126</v>
      </c>
      <c r="H16" t="s">
        <v>212</v>
      </c>
    </row>
    <row r="17" spans="1:8">
      <c r="A17" t="s">
        <v>595</v>
      </c>
      <c r="B17">
        <v>2.49876858810916E-4</v>
      </c>
      <c r="C17" t="s">
        <v>172</v>
      </c>
      <c r="E17" t="s">
        <v>119</v>
      </c>
      <c r="F17" t="s">
        <v>126</v>
      </c>
      <c r="H17" t="s">
        <v>127</v>
      </c>
    </row>
    <row r="18" spans="1:8">
      <c r="A18" t="s">
        <v>595</v>
      </c>
      <c r="B18">
        <v>1.1580501231411899</v>
      </c>
      <c r="C18" t="s">
        <v>172</v>
      </c>
      <c r="E18" t="s">
        <v>119</v>
      </c>
      <c r="F18" t="s">
        <v>126</v>
      </c>
      <c r="H18" t="s">
        <v>596</v>
      </c>
    </row>
    <row r="19" spans="1:8">
      <c r="A19" t="s">
        <v>1012</v>
      </c>
      <c r="B19">
        <v>3.4499999999999999E-3</v>
      </c>
      <c r="C19" t="s">
        <v>172</v>
      </c>
      <c r="E19" t="s">
        <v>188</v>
      </c>
      <c r="F19" t="s">
        <v>126</v>
      </c>
      <c r="H19" t="s">
        <v>185</v>
      </c>
    </row>
    <row r="20" spans="1:8">
      <c r="A20" t="s">
        <v>1013</v>
      </c>
      <c r="B20" s="5">
        <v>2.3E-5</v>
      </c>
      <c r="C20" t="s">
        <v>172</v>
      </c>
      <c r="E20" t="s">
        <v>114</v>
      </c>
      <c r="F20" t="s">
        <v>126</v>
      </c>
      <c r="H20" t="s">
        <v>185</v>
      </c>
    </row>
    <row r="21" spans="1:8">
      <c r="A21" t="s">
        <v>186</v>
      </c>
      <c r="B21" s="5">
        <v>2.2999999999999999E-7</v>
      </c>
      <c r="C21" t="s">
        <v>172</v>
      </c>
      <c r="E21" t="s">
        <v>114</v>
      </c>
      <c r="F21" t="s">
        <v>126</v>
      </c>
      <c r="H21" t="s">
        <v>185</v>
      </c>
    </row>
    <row r="22" spans="1:8">
      <c r="A22" t="s">
        <v>1014</v>
      </c>
      <c r="B22" s="5">
        <v>2.2770000000000001E-5</v>
      </c>
      <c r="C22" t="s">
        <v>172</v>
      </c>
      <c r="E22" t="s">
        <v>114</v>
      </c>
      <c r="F22" t="s">
        <v>126</v>
      </c>
      <c r="H22" t="s">
        <v>185</v>
      </c>
    </row>
    <row r="23" spans="1:8">
      <c r="A23" t="s">
        <v>1015</v>
      </c>
      <c r="B23">
        <v>0.15</v>
      </c>
      <c r="C23" t="s">
        <v>172</v>
      </c>
      <c r="E23" t="s">
        <v>1017</v>
      </c>
      <c r="F23" t="s">
        <v>126</v>
      </c>
      <c r="H23" t="s">
        <v>222</v>
      </c>
    </row>
    <row r="24" spans="1:8">
      <c r="A24" t="s">
        <v>1016</v>
      </c>
      <c r="B24">
        <v>1.1583000000000001</v>
      </c>
      <c r="C24" t="s">
        <v>172</v>
      </c>
      <c r="E24" t="s">
        <v>119</v>
      </c>
      <c r="F24" t="s">
        <v>126</v>
      </c>
      <c r="H24" t="s">
        <v>222</v>
      </c>
    </row>
    <row r="26" spans="1:8">
      <c r="A26" s="42"/>
    </row>
    <row r="27" spans="1:8">
      <c r="A27" s="42"/>
    </row>
    <row r="28" spans="1:8">
      <c r="A28" s="42"/>
    </row>
    <row r="29" spans="1:8">
      <c r="A29" s="42"/>
    </row>
    <row r="30" spans="1:8">
      <c r="A30" s="42"/>
    </row>
    <row r="31" spans="1:8">
      <c r="A31" s="42"/>
    </row>
    <row r="32" spans="1:8">
      <c r="A32" s="42"/>
    </row>
    <row r="33" spans="1:3">
      <c r="A33" s="42"/>
    </row>
    <row r="34" spans="1:3">
      <c r="A34" s="42"/>
    </row>
    <row r="35" spans="1:3">
      <c r="A35" s="42"/>
    </row>
    <row r="36" spans="1:3">
      <c r="A36" s="42"/>
    </row>
    <row r="37" spans="1:3">
      <c r="A37" s="42"/>
    </row>
    <row r="38" spans="1:3">
      <c r="A38" s="42"/>
    </row>
    <row r="39" spans="1:3">
      <c r="A39" s="42"/>
    </row>
    <row r="40" spans="1:3">
      <c r="A40" s="42"/>
    </row>
    <row r="42" spans="1:3">
      <c r="A42" s="42"/>
    </row>
    <row r="43" spans="1:3">
      <c r="A43" s="42"/>
      <c r="C43" s="5"/>
    </row>
    <row r="44" spans="1:3">
      <c r="A44" s="42"/>
      <c r="C44" s="5"/>
    </row>
    <row r="45" spans="1:3">
      <c r="A45" s="42"/>
      <c r="C45" s="5"/>
    </row>
    <row r="46" spans="1:3">
      <c r="A46" s="42"/>
      <c r="C46" s="5"/>
    </row>
    <row r="47" spans="1:3">
      <c r="A47" s="42"/>
      <c r="C47" s="5"/>
    </row>
    <row r="48" spans="1:3">
      <c r="A48" s="42"/>
    </row>
    <row r="49" spans="1:3">
      <c r="A49" s="42"/>
    </row>
    <row r="50" spans="1:3">
      <c r="A50" s="42"/>
    </row>
    <row r="51" spans="1:3">
      <c r="A51" s="42"/>
      <c r="C51" s="5"/>
    </row>
    <row r="52" spans="1:3">
      <c r="A52" s="42"/>
      <c r="C52" s="5"/>
    </row>
    <row r="53" spans="1:3">
      <c r="A53" s="42"/>
      <c r="C53" s="5"/>
    </row>
    <row r="54" spans="1:3">
      <c r="A54" s="42"/>
    </row>
    <row r="55" spans="1:3">
      <c r="A55" s="42"/>
    </row>
    <row r="56" spans="1:3">
      <c r="A56" s="4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A81F5-90A4-4ED0-9EC7-E8F98BFCA88B}">
  <dimension ref="A1:K11"/>
  <sheetViews>
    <sheetView topLeftCell="A2" workbookViewId="0">
      <selection activeCell="A15" sqref="A15"/>
    </sheetView>
  </sheetViews>
  <sheetFormatPr defaultColWidth="10.58203125" defaultRowHeight="15.5"/>
  <cols>
    <col min="1" max="1" width="43.58203125" bestFit="1" customWidth="1"/>
  </cols>
  <sheetData>
    <row r="1" spans="1:11">
      <c r="A1" s="7" t="s">
        <v>0</v>
      </c>
      <c r="B1" s="23" t="s">
        <v>198</v>
      </c>
      <c r="C1" s="12"/>
      <c r="D1" s="13"/>
      <c r="E1" s="13"/>
      <c r="F1" s="13"/>
      <c r="G1" s="13"/>
      <c r="H1" s="13"/>
      <c r="I1" s="14"/>
      <c r="K1" s="9"/>
    </row>
    <row r="2" spans="1:11">
      <c r="A2" s="8" t="s">
        <v>2</v>
      </c>
      <c r="B2" s="25">
        <v>1</v>
      </c>
      <c r="C2" s="13"/>
      <c r="D2" s="13"/>
      <c r="E2" s="13"/>
      <c r="F2" s="13"/>
      <c r="G2" s="13"/>
      <c r="H2" s="13"/>
      <c r="I2" s="14"/>
      <c r="K2" s="9"/>
    </row>
    <row r="3" spans="1:11">
      <c r="A3" s="8" t="s">
        <v>13</v>
      </c>
      <c r="B3" s="15" t="s">
        <v>199</v>
      </c>
      <c r="C3" s="13"/>
      <c r="D3" s="13"/>
      <c r="E3" s="13"/>
      <c r="F3" s="13"/>
      <c r="G3" s="13"/>
      <c r="H3" s="13"/>
      <c r="I3" s="14"/>
      <c r="K3" s="9"/>
    </row>
    <row r="4" spans="1:11">
      <c r="A4" s="8" t="s">
        <v>3</v>
      </c>
      <c r="B4" t="s">
        <v>159</v>
      </c>
      <c r="C4" s="13"/>
      <c r="D4" s="13"/>
      <c r="E4" s="13"/>
      <c r="F4" s="13"/>
      <c r="G4" s="13"/>
      <c r="H4" s="13"/>
      <c r="I4" s="14"/>
      <c r="K4" s="9"/>
    </row>
    <row r="5" spans="1:11">
      <c r="A5" s="8" t="s">
        <v>1</v>
      </c>
      <c r="B5" s="15" t="s">
        <v>194</v>
      </c>
      <c r="C5" s="13"/>
      <c r="D5" s="13"/>
      <c r="E5" s="13"/>
      <c r="F5" s="13"/>
      <c r="G5" s="13"/>
      <c r="H5" s="13"/>
      <c r="I5" s="14"/>
      <c r="K5" s="9"/>
    </row>
    <row r="6" spans="1:11">
      <c r="A6" s="24" t="s">
        <v>5</v>
      </c>
      <c r="B6" s="15" t="s">
        <v>6</v>
      </c>
      <c r="C6" s="13"/>
      <c r="D6" s="13"/>
      <c r="E6" s="13"/>
      <c r="F6" s="13"/>
      <c r="G6" s="13"/>
      <c r="H6" s="13"/>
      <c r="I6" s="14"/>
      <c r="K6" s="9"/>
    </row>
    <row r="7" spans="1:11">
      <c r="A7" s="8" t="s">
        <v>7</v>
      </c>
      <c r="B7" t="s">
        <v>8</v>
      </c>
      <c r="C7" s="13"/>
      <c r="D7" s="13"/>
      <c r="E7" s="13"/>
      <c r="F7" s="13"/>
      <c r="G7" s="13"/>
      <c r="H7" s="16"/>
      <c r="I7" s="17"/>
      <c r="K7" s="9"/>
    </row>
    <row r="8" spans="1:11">
      <c r="A8" s="16" t="s">
        <v>14</v>
      </c>
      <c r="B8" s="11"/>
      <c r="C8" s="16"/>
      <c r="D8" s="16"/>
      <c r="E8" s="16"/>
      <c r="F8" s="16"/>
      <c r="G8" s="16"/>
      <c r="H8" s="12"/>
      <c r="I8" s="18"/>
      <c r="K8" s="9"/>
    </row>
    <row r="9" spans="1:11">
      <c r="A9" t="s">
        <v>15</v>
      </c>
      <c r="B9" s="5" t="s">
        <v>16</v>
      </c>
      <c r="C9" t="s">
        <v>17</v>
      </c>
      <c r="D9" t="s">
        <v>1</v>
      </c>
      <c r="E9" t="s">
        <v>7</v>
      </c>
      <c r="F9" t="s">
        <v>5</v>
      </c>
      <c r="G9" t="s">
        <v>3</v>
      </c>
      <c r="H9" t="s">
        <v>18</v>
      </c>
      <c r="I9" s="19" t="s">
        <v>13</v>
      </c>
      <c r="J9" s="20"/>
      <c r="K9" s="9"/>
    </row>
    <row r="10" spans="1:11">
      <c r="A10" s="22" t="s">
        <v>198</v>
      </c>
      <c r="B10" s="5">
        <v>1</v>
      </c>
      <c r="C10" t="s">
        <v>1413</v>
      </c>
      <c r="D10" t="s">
        <v>194</v>
      </c>
      <c r="E10" t="s">
        <v>8</v>
      </c>
      <c r="F10" t="s">
        <v>24</v>
      </c>
      <c r="G10" t="s">
        <v>159</v>
      </c>
      <c r="H10" s="12"/>
      <c r="I10" s="18"/>
      <c r="K10" s="9"/>
    </row>
    <row r="11" spans="1:11">
      <c r="A11" s="26" t="s">
        <v>200</v>
      </c>
      <c r="B11" s="5">
        <f>B10/0.8</f>
        <v>1.25</v>
      </c>
      <c r="C11" t="s">
        <v>1413</v>
      </c>
      <c r="D11" t="s">
        <v>194</v>
      </c>
      <c r="E11" t="s">
        <v>8</v>
      </c>
      <c r="F11" t="s">
        <v>26</v>
      </c>
      <c r="G11" t="s">
        <v>159</v>
      </c>
      <c r="I1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9828-801C-415B-B082-81E04B10FB17}">
  <dimension ref="A1:XEW718"/>
  <sheetViews>
    <sheetView zoomScale="85" zoomScaleNormal="85" workbookViewId="0">
      <selection activeCell="B93" sqref="B93"/>
    </sheetView>
  </sheetViews>
  <sheetFormatPr defaultRowHeight="15.5"/>
  <cols>
    <col min="1" max="1" width="47.58203125" bestFit="1" customWidth="1"/>
    <col min="2" max="2" width="20" customWidth="1"/>
    <col min="3" max="3" width="14.83203125" customWidth="1"/>
    <col min="5" max="5" width="12.08203125" customWidth="1"/>
    <col min="6" max="6" width="12" customWidth="1"/>
    <col min="7" max="7" width="14.58203125" customWidth="1"/>
    <col min="8" max="8" width="13.75" customWidth="1"/>
  </cols>
  <sheetData>
    <row r="1" spans="1:13">
      <c r="A1" s="1" t="s">
        <v>0</v>
      </c>
      <c r="B1" s="1" t="s">
        <v>1191</v>
      </c>
      <c r="M1" t="s">
        <v>12</v>
      </c>
    </row>
    <row r="2" spans="1:13">
      <c r="A2" t="s">
        <v>1</v>
      </c>
      <c r="B2" t="s">
        <v>194</v>
      </c>
      <c r="M2" t="s">
        <v>12</v>
      </c>
    </row>
    <row r="3" spans="1:13">
      <c r="A3" t="s">
        <v>2</v>
      </c>
      <c r="B3">
        <v>1</v>
      </c>
      <c r="M3" t="s">
        <v>12</v>
      </c>
    </row>
    <row r="4" spans="1:13">
      <c r="A4" t="s">
        <v>13</v>
      </c>
      <c r="B4" t="s">
        <v>1192</v>
      </c>
    </row>
    <row r="5" spans="1:13">
      <c r="A5" t="s">
        <v>11</v>
      </c>
      <c r="B5" t="s">
        <v>1193</v>
      </c>
    </row>
    <row r="6" spans="1:13">
      <c r="A6" t="s">
        <v>3</v>
      </c>
      <c r="B6" t="s">
        <v>159</v>
      </c>
      <c r="M6" t="s">
        <v>12</v>
      </c>
    </row>
    <row r="7" spans="1:13">
      <c r="A7" t="s">
        <v>5</v>
      </c>
      <c r="B7" t="s">
        <v>6</v>
      </c>
      <c r="M7" t="s">
        <v>12</v>
      </c>
    </row>
    <row r="8" spans="1:13">
      <c r="A8" t="s">
        <v>7</v>
      </c>
      <c r="B8" t="s">
        <v>8</v>
      </c>
      <c r="M8" t="s">
        <v>12</v>
      </c>
    </row>
    <row r="9" spans="1:13">
      <c r="A9" s="1" t="s">
        <v>14</v>
      </c>
      <c r="M9" t="s">
        <v>12</v>
      </c>
    </row>
    <row r="10" spans="1:13">
      <c r="A10" s="1" t="s">
        <v>15</v>
      </c>
      <c r="B10" s="1" t="s">
        <v>16</v>
      </c>
      <c r="C10" s="1" t="s">
        <v>1</v>
      </c>
      <c r="D10" s="1" t="s">
        <v>7</v>
      </c>
      <c r="E10" s="1" t="s">
        <v>18</v>
      </c>
      <c r="F10" s="1" t="s">
        <v>5</v>
      </c>
      <c r="G10" s="1" t="s">
        <v>3</v>
      </c>
      <c r="H10" s="1" t="s">
        <v>13</v>
      </c>
    </row>
    <row r="11" spans="1:13">
      <c r="A11" t="str">
        <f>B1</f>
        <v>electricity production, from hydrogen-fired one gigawatt gas turbine, RTE2050</v>
      </c>
      <c r="B11">
        <v>1</v>
      </c>
      <c r="C11" t="s">
        <v>194</v>
      </c>
      <c r="D11" s="50" t="str">
        <f>B8</f>
        <v>kilowatt hour</v>
      </c>
      <c r="F11" t="s">
        <v>24</v>
      </c>
      <c r="G11" t="str">
        <f>B6</f>
        <v>electricity, high voltage</v>
      </c>
    </row>
    <row r="12" spans="1:13">
      <c r="A12" t="s">
        <v>1194</v>
      </c>
      <c r="B12" s="5">
        <v>1.3888999999999999E-11</v>
      </c>
      <c r="C12" s="51" t="s">
        <v>20</v>
      </c>
      <c r="D12" t="s">
        <v>7</v>
      </c>
      <c r="F12" t="s">
        <v>26</v>
      </c>
      <c r="G12" t="s">
        <v>1195</v>
      </c>
    </row>
    <row r="13" spans="1:13">
      <c r="A13" t="s">
        <v>1196</v>
      </c>
      <c r="B13" s="5">
        <f>((3.6/0.513)/141.8)*1.005</f>
        <v>4.9736470937569582E-2</v>
      </c>
      <c r="C13" t="s">
        <v>194</v>
      </c>
      <c r="D13" t="s">
        <v>38</v>
      </c>
      <c r="F13" t="s">
        <v>26</v>
      </c>
      <c r="G13" t="s">
        <v>1197</v>
      </c>
      <c r="H13" t="s">
        <v>1198</v>
      </c>
    </row>
    <row r="14" spans="1:13">
      <c r="A14" t="s">
        <v>595</v>
      </c>
      <c r="B14" s="5">
        <f>0.4448/1000</f>
        <v>4.4479999999999997E-4</v>
      </c>
      <c r="D14" t="s">
        <v>119</v>
      </c>
      <c r="E14" t="s">
        <v>212</v>
      </c>
      <c r="F14" t="s">
        <v>126</v>
      </c>
      <c r="H14" t="s">
        <v>1199</v>
      </c>
    </row>
    <row r="15" spans="1:13">
      <c r="A15" t="s">
        <v>424</v>
      </c>
      <c r="B15" s="5">
        <v>1.5428571428571401E-4</v>
      </c>
      <c r="D15" t="s">
        <v>38</v>
      </c>
      <c r="E15" t="s">
        <v>212</v>
      </c>
      <c r="F15" t="s">
        <v>126</v>
      </c>
      <c r="H15" t="s">
        <v>1200</v>
      </c>
    </row>
    <row r="16" spans="1:13">
      <c r="A16" t="s">
        <v>630</v>
      </c>
      <c r="B16" s="21">
        <f>((3.6/0.513)/141.8)*0.005</f>
        <v>2.4744512904263476E-4</v>
      </c>
      <c r="D16" t="s">
        <v>38</v>
      </c>
      <c r="E16" t="s">
        <v>127</v>
      </c>
      <c r="F16" t="s">
        <v>126</v>
      </c>
      <c r="H16" t="s">
        <v>1201</v>
      </c>
    </row>
    <row r="17" spans="1:13" s="52" customFormat="1">
      <c r="B17" s="53"/>
    </row>
    <row r="18" spans="1:13">
      <c r="A18" s="1" t="s">
        <v>0</v>
      </c>
      <c r="B18" s="1" t="s">
        <v>1196</v>
      </c>
      <c r="M18" t="s">
        <v>12</v>
      </c>
    </row>
    <row r="19" spans="1:13">
      <c r="A19" t="s">
        <v>1</v>
      </c>
      <c r="B19" t="s">
        <v>194</v>
      </c>
      <c r="M19" t="s">
        <v>12</v>
      </c>
    </row>
    <row r="20" spans="1:13">
      <c r="A20" t="s">
        <v>2</v>
      </c>
      <c r="B20">
        <v>1</v>
      </c>
      <c r="M20" t="s">
        <v>12</v>
      </c>
    </row>
    <row r="21" spans="1:13">
      <c r="A21" t="s">
        <v>13</v>
      </c>
      <c r="B21" t="s">
        <v>1202</v>
      </c>
    </row>
    <row r="22" spans="1:13">
      <c r="A22" t="s">
        <v>11</v>
      </c>
      <c r="B22" t="s">
        <v>1203</v>
      </c>
    </row>
    <row r="23" spans="1:13">
      <c r="A23" t="s">
        <v>3</v>
      </c>
      <c r="B23" t="s">
        <v>1197</v>
      </c>
      <c r="M23" t="s">
        <v>12</v>
      </c>
    </row>
    <row r="24" spans="1:13">
      <c r="A24" t="s">
        <v>5</v>
      </c>
      <c r="B24" t="s">
        <v>6</v>
      </c>
      <c r="M24" t="s">
        <v>12</v>
      </c>
    </row>
    <row r="25" spans="1:13">
      <c r="A25" t="s">
        <v>7</v>
      </c>
      <c r="B25" t="s">
        <v>38</v>
      </c>
      <c r="M25" t="s">
        <v>12</v>
      </c>
    </row>
    <row r="26" spans="1:13">
      <c r="A26" s="1" t="s">
        <v>14</v>
      </c>
      <c r="M26" t="s">
        <v>12</v>
      </c>
    </row>
    <row r="27" spans="1:13">
      <c r="A27" s="1" t="s">
        <v>15</v>
      </c>
      <c r="B27" s="1" t="s">
        <v>16</v>
      </c>
      <c r="C27" s="1" t="s">
        <v>1</v>
      </c>
      <c r="D27" s="1" t="s">
        <v>7</v>
      </c>
      <c r="E27" s="1" t="s">
        <v>18</v>
      </c>
      <c r="F27" s="1" t="s">
        <v>5</v>
      </c>
      <c r="G27" s="1" t="s">
        <v>3</v>
      </c>
      <c r="H27" s="1" t="s">
        <v>13</v>
      </c>
    </row>
    <row r="28" spans="1:13">
      <c r="A28" t="str">
        <f>B18</f>
        <v>hydrogen storage, for grid-balancing, RTE2050</v>
      </c>
      <c r="B28">
        <v>1</v>
      </c>
      <c r="C28" t="s">
        <v>194</v>
      </c>
      <c r="D28" s="50" t="str">
        <f>B25</f>
        <v>kilogram</v>
      </c>
      <c r="F28" t="s">
        <v>24</v>
      </c>
      <c r="G28" t="str">
        <f>B23</f>
        <v>hydrogen, gaseous, 80 bar</v>
      </c>
    </row>
    <row r="29" spans="1:13">
      <c r="A29" s="5" t="s">
        <v>1038</v>
      </c>
      <c r="B29" s="21">
        <f>1+0.0025+(0.023*0.3)</f>
        <v>1.0093999999999999</v>
      </c>
      <c r="C29" t="s">
        <v>194</v>
      </c>
      <c r="D29" t="s">
        <v>38</v>
      </c>
      <c r="F29" t="s">
        <v>26</v>
      </c>
      <c r="G29" t="s">
        <v>886</v>
      </c>
      <c r="H29" t="s">
        <v>1204</v>
      </c>
    </row>
    <row r="30" spans="1:13">
      <c r="A30" t="s">
        <v>1205</v>
      </c>
      <c r="B30" s="21">
        <f>B29</f>
        <v>1.0093999999999999</v>
      </c>
      <c r="C30" t="s">
        <v>194</v>
      </c>
      <c r="D30" t="s">
        <v>38</v>
      </c>
      <c r="F30" t="s">
        <v>26</v>
      </c>
      <c r="G30" t="s">
        <v>1206</v>
      </c>
    </row>
    <row r="31" spans="1:13">
      <c r="A31" t="s">
        <v>365</v>
      </c>
      <c r="B31">
        <v>0.88</v>
      </c>
      <c r="C31" t="s">
        <v>194</v>
      </c>
      <c r="D31" t="s">
        <v>8</v>
      </c>
      <c r="F31" t="s">
        <v>26</v>
      </c>
      <c r="G31" t="s">
        <v>366</v>
      </c>
      <c r="H31" t="s">
        <v>1207</v>
      </c>
    </row>
    <row r="32" spans="1:13">
      <c r="A32" t="s">
        <v>630</v>
      </c>
      <c r="B32" s="21">
        <f>B30-1</f>
        <v>9.3999999999998529E-3</v>
      </c>
      <c r="D32" t="s">
        <v>38</v>
      </c>
      <c r="E32" t="s">
        <v>127</v>
      </c>
      <c r="F32" t="s">
        <v>126</v>
      </c>
      <c r="H32" t="s">
        <v>1201</v>
      </c>
    </row>
    <row r="33" spans="1:9" s="52" customFormat="1">
      <c r="B33" s="53"/>
    </row>
    <row r="34" spans="1:9">
      <c r="A34" s="1" t="s">
        <v>0</v>
      </c>
      <c r="B34" s="1" t="s">
        <v>1208</v>
      </c>
    </row>
    <row r="35" spans="1:9">
      <c r="A35" t="s">
        <v>1</v>
      </c>
      <c r="B35" t="s">
        <v>194</v>
      </c>
    </row>
    <row r="36" spans="1:9">
      <c r="A36" t="s">
        <v>2</v>
      </c>
      <c r="B36">
        <v>1</v>
      </c>
    </row>
    <row r="37" spans="1:9">
      <c r="A37" t="s">
        <v>3</v>
      </c>
      <c r="B37" t="s">
        <v>1209</v>
      </c>
    </row>
    <row r="38" spans="1:9">
      <c r="A38" t="s">
        <v>5</v>
      </c>
      <c r="B38" t="s">
        <v>6</v>
      </c>
    </row>
    <row r="39" spans="1:9">
      <c r="A39" t="s">
        <v>7</v>
      </c>
      <c r="B39" t="s">
        <v>38</v>
      </c>
    </row>
    <row r="40" spans="1:9">
      <c r="A40" t="s">
        <v>13</v>
      </c>
      <c r="B40" t="s">
        <v>1210</v>
      </c>
    </row>
    <row r="41" spans="1:9">
      <c r="A41" t="s">
        <v>11</v>
      </c>
      <c r="B41" t="s">
        <v>1211</v>
      </c>
    </row>
    <row r="42" spans="1:9">
      <c r="A42" s="1" t="s">
        <v>14</v>
      </c>
    </row>
    <row r="43" spans="1:9">
      <c r="A43" t="s">
        <v>15</v>
      </c>
      <c r="B43" t="s">
        <v>16</v>
      </c>
      <c r="C43" t="s">
        <v>17</v>
      </c>
      <c r="D43" t="s">
        <v>1</v>
      </c>
      <c r="E43" t="s">
        <v>18</v>
      </c>
      <c r="F43" t="s">
        <v>7</v>
      </c>
      <c r="G43" t="s">
        <v>5</v>
      </c>
      <c r="H43" t="s">
        <v>3</v>
      </c>
    </row>
    <row r="44" spans="1:9">
      <c r="A44" t="str">
        <f>B34</f>
        <v>solution mining for geological hydrogen storage, RTE2050</v>
      </c>
      <c r="B44" s="54">
        <v>1</v>
      </c>
      <c r="C44" t="s">
        <v>1413</v>
      </c>
      <c r="D44" t="s">
        <v>194</v>
      </c>
      <c r="F44" t="s">
        <v>38</v>
      </c>
      <c r="G44" t="s">
        <v>24</v>
      </c>
      <c r="H44" t="s">
        <v>1209</v>
      </c>
    </row>
    <row r="45" spans="1:9">
      <c r="A45" t="s">
        <v>195</v>
      </c>
      <c r="B45">
        <v>9.375E-2</v>
      </c>
      <c r="C45" t="s">
        <v>171</v>
      </c>
      <c r="D45" t="s">
        <v>194</v>
      </c>
      <c r="F45" t="s">
        <v>8</v>
      </c>
      <c r="G45" t="s">
        <v>26</v>
      </c>
      <c r="H45" t="s">
        <v>4</v>
      </c>
    </row>
    <row r="46" spans="1:9">
      <c r="A46" t="s">
        <v>623</v>
      </c>
      <c r="B46">
        <v>31.25</v>
      </c>
      <c r="C46" t="s">
        <v>171</v>
      </c>
      <c r="D46" t="s">
        <v>169</v>
      </c>
      <c r="F46" t="s">
        <v>38</v>
      </c>
      <c r="G46" t="s">
        <v>26</v>
      </c>
      <c r="H46" t="s">
        <v>624</v>
      </c>
    </row>
    <row r="47" spans="1:9">
      <c r="A47" s="52"/>
      <c r="B47" s="52"/>
      <c r="C47" s="52"/>
      <c r="D47" s="52"/>
      <c r="E47" s="52"/>
      <c r="F47" s="52"/>
      <c r="G47" s="52"/>
      <c r="H47" s="52"/>
      <c r="I47" s="52"/>
    </row>
    <row r="48" spans="1:9">
      <c r="A48" s="1" t="s">
        <v>0</v>
      </c>
      <c r="B48" s="1" t="s">
        <v>1205</v>
      </c>
    </row>
    <row r="49" spans="1:11">
      <c r="A49" t="s">
        <v>1</v>
      </c>
      <c r="B49" t="s">
        <v>194</v>
      </c>
    </row>
    <row r="50" spans="1:11">
      <c r="A50" t="s">
        <v>2</v>
      </c>
      <c r="B50">
        <v>1</v>
      </c>
    </row>
    <row r="51" spans="1:11">
      <c r="A51" t="s">
        <v>3</v>
      </c>
      <c r="B51" t="s">
        <v>1206</v>
      </c>
    </row>
    <row r="52" spans="1:11">
      <c r="A52" t="s">
        <v>5</v>
      </c>
      <c r="B52" t="s">
        <v>6</v>
      </c>
    </row>
    <row r="53" spans="1:11">
      <c r="A53" t="s">
        <v>7</v>
      </c>
      <c r="B53" t="s">
        <v>38</v>
      </c>
    </row>
    <row r="54" spans="1:11">
      <c r="A54" t="s">
        <v>13</v>
      </c>
      <c r="B54" t="s">
        <v>1212</v>
      </c>
    </row>
    <row r="55" spans="1:11">
      <c r="A55" t="s">
        <v>11</v>
      </c>
      <c r="B55" t="s">
        <v>1211</v>
      </c>
    </row>
    <row r="56" spans="1:11">
      <c r="A56" s="1" t="s">
        <v>14</v>
      </c>
    </row>
    <row r="57" spans="1:11">
      <c r="A57" t="s">
        <v>15</v>
      </c>
      <c r="B57" t="s">
        <v>16</v>
      </c>
      <c r="C57" t="s">
        <v>17</v>
      </c>
      <c r="D57" t="s">
        <v>1</v>
      </c>
      <c r="E57" t="s">
        <v>18</v>
      </c>
      <c r="F57" t="s">
        <v>7</v>
      </c>
      <c r="G57" t="s">
        <v>5</v>
      </c>
      <c r="H57" t="s">
        <v>3</v>
      </c>
    </row>
    <row r="58" spans="1:11">
      <c r="A58" t="str">
        <f>B48</f>
        <v>geological hydrogen storage, RTE2050</v>
      </c>
      <c r="B58" s="54">
        <v>1</v>
      </c>
      <c r="C58" t="s">
        <v>1413</v>
      </c>
      <c r="D58" t="s">
        <v>194</v>
      </c>
      <c r="F58" t="s">
        <v>38</v>
      </c>
      <c r="G58" t="s">
        <v>24</v>
      </c>
      <c r="H58" t="s">
        <v>1206</v>
      </c>
    </row>
    <row r="59" spans="1:11">
      <c r="A59" t="s">
        <v>195</v>
      </c>
      <c r="B59">
        <v>0.34399999999999997</v>
      </c>
      <c r="C59" t="s">
        <v>171</v>
      </c>
      <c r="D59" t="s">
        <v>194</v>
      </c>
      <c r="F59" t="s">
        <v>8</v>
      </c>
      <c r="G59" t="s">
        <v>26</v>
      </c>
      <c r="H59" t="s">
        <v>4</v>
      </c>
    </row>
    <row r="60" spans="1:11">
      <c r="A60" t="s">
        <v>1208</v>
      </c>
      <c r="B60" s="54">
        <v>1</v>
      </c>
      <c r="C60" t="s">
        <v>1413</v>
      </c>
      <c r="D60" t="s">
        <v>194</v>
      </c>
      <c r="F60" t="s">
        <v>38</v>
      </c>
      <c r="G60" t="s">
        <v>26</v>
      </c>
      <c r="H60" t="s">
        <v>1209</v>
      </c>
    </row>
    <row r="61" spans="1:11" s="52" customFormat="1">
      <c r="B61" s="53"/>
    </row>
    <row r="62" spans="1:11">
      <c r="A62" s="7" t="s">
        <v>0</v>
      </c>
      <c r="B62" s="23" t="s">
        <v>1213</v>
      </c>
      <c r="C62" s="12"/>
      <c r="D62" s="13"/>
      <c r="E62" s="13"/>
      <c r="F62" s="13"/>
      <c r="G62" s="13"/>
      <c r="H62" s="13"/>
      <c r="I62" s="14"/>
      <c r="K62" s="50"/>
    </row>
    <row r="63" spans="1:11">
      <c r="A63" s="8" t="s">
        <v>2</v>
      </c>
      <c r="B63" s="25">
        <v>1</v>
      </c>
      <c r="C63" s="13"/>
      <c r="D63" s="13"/>
      <c r="F63" s="13"/>
      <c r="G63" s="13"/>
      <c r="H63" s="13"/>
      <c r="I63" s="14"/>
      <c r="K63" s="50"/>
    </row>
    <row r="64" spans="1:11">
      <c r="A64" s="8" t="s">
        <v>13</v>
      </c>
      <c r="B64" s="15" t="s">
        <v>1214</v>
      </c>
      <c r="C64" s="13"/>
      <c r="D64" s="13"/>
      <c r="F64" s="13"/>
      <c r="G64" s="13"/>
      <c r="H64" s="13"/>
      <c r="I64" s="14"/>
      <c r="K64" s="50"/>
    </row>
    <row r="65" spans="1:16">
      <c r="A65" s="8" t="s">
        <v>3</v>
      </c>
      <c r="B65" t="s">
        <v>159</v>
      </c>
      <c r="C65" s="13"/>
      <c r="D65" s="13"/>
      <c r="F65" s="13"/>
      <c r="G65" s="13"/>
      <c r="H65" s="13"/>
      <c r="I65" s="14"/>
      <c r="K65" s="50"/>
    </row>
    <row r="66" spans="1:16">
      <c r="A66" s="8" t="s">
        <v>1</v>
      </c>
      <c r="B66" s="15" t="s">
        <v>194</v>
      </c>
      <c r="C66" s="13"/>
      <c r="D66" s="13"/>
      <c r="F66" s="13"/>
      <c r="G66" s="13"/>
      <c r="H66" s="13"/>
      <c r="I66" s="14"/>
      <c r="K66" s="50"/>
    </row>
    <row r="67" spans="1:16">
      <c r="A67" s="55" t="s">
        <v>5</v>
      </c>
      <c r="B67" s="15" t="s">
        <v>6</v>
      </c>
      <c r="C67" s="13"/>
      <c r="D67" s="13"/>
      <c r="F67" s="13"/>
      <c r="G67" s="13"/>
      <c r="H67" s="13"/>
      <c r="I67" s="14"/>
      <c r="K67" s="50"/>
    </row>
    <row r="68" spans="1:16">
      <c r="A68" s="8" t="s">
        <v>7</v>
      </c>
      <c r="B68" t="s">
        <v>8</v>
      </c>
      <c r="C68" s="13"/>
      <c r="D68" s="13"/>
      <c r="E68" s="13"/>
      <c r="F68" s="13"/>
      <c r="G68" s="13"/>
      <c r="H68" s="16"/>
      <c r="I68" s="17"/>
      <c r="K68" s="50"/>
    </row>
    <row r="69" spans="1:16">
      <c r="A69" s="16" t="s">
        <v>14</v>
      </c>
      <c r="B69" s="11"/>
      <c r="C69" s="16"/>
      <c r="D69" s="16"/>
      <c r="E69" s="16"/>
      <c r="F69" s="16"/>
      <c r="G69" s="16"/>
      <c r="H69" s="12"/>
      <c r="I69" s="18"/>
      <c r="K69" s="50"/>
    </row>
    <row r="70" spans="1:16">
      <c r="A70" t="s">
        <v>15</v>
      </c>
      <c r="B70" s="5" t="s">
        <v>16</v>
      </c>
      <c r="C70" t="s">
        <v>17</v>
      </c>
      <c r="D70" t="s">
        <v>1</v>
      </c>
      <c r="E70" t="s">
        <v>7</v>
      </c>
      <c r="F70" t="s">
        <v>5</v>
      </c>
      <c r="G70" t="s">
        <v>3</v>
      </c>
      <c r="H70" t="s">
        <v>18</v>
      </c>
      <c r="I70" s="19" t="s">
        <v>13</v>
      </c>
      <c r="J70" s="20"/>
      <c r="K70" s="50"/>
    </row>
    <row r="71" spans="1:16">
      <c r="A71" s="5" t="s">
        <v>1213</v>
      </c>
      <c r="B71" s="5">
        <v>1</v>
      </c>
      <c r="C71" t="s">
        <v>1413</v>
      </c>
      <c r="D71" t="s">
        <v>194</v>
      </c>
      <c r="E71" t="s">
        <v>8</v>
      </c>
      <c r="F71" t="s">
        <v>24</v>
      </c>
      <c r="G71" t="s">
        <v>159</v>
      </c>
      <c r="H71" s="12"/>
      <c r="I71" s="18"/>
      <c r="K71" s="50"/>
    </row>
    <row r="72" spans="1:16">
      <c r="A72" s="5" t="s">
        <v>1038</v>
      </c>
      <c r="B72">
        <f>0.03/0.6</f>
        <v>0.05</v>
      </c>
      <c r="C72" t="s">
        <v>1413</v>
      </c>
      <c r="D72" t="s">
        <v>194</v>
      </c>
      <c r="E72" t="s">
        <v>38</v>
      </c>
      <c r="F72" t="s">
        <v>26</v>
      </c>
      <c r="G72" t="s">
        <v>1215</v>
      </c>
      <c r="I72" s="6"/>
    </row>
    <row r="73" spans="1:16" s="52" customFormat="1">
      <c r="B73" s="53"/>
    </row>
    <row r="74" spans="1:16" s="57" customFormat="1">
      <c r="A74" s="94" t="s">
        <v>0</v>
      </c>
      <c r="B74" s="1" t="s">
        <v>1038</v>
      </c>
      <c r="C74" s="68"/>
      <c r="D74" s="69"/>
      <c r="E74" s="64"/>
      <c r="F74" s="64"/>
      <c r="G74" s="64"/>
      <c r="H74" s="64"/>
      <c r="I74" s="64"/>
      <c r="J74" s="64"/>
      <c r="K74" s="70"/>
      <c r="L74" s="70"/>
      <c r="M74" s="62"/>
      <c r="N74" s="62"/>
      <c r="O74" s="62"/>
      <c r="P74" s="62"/>
    </row>
    <row r="75" spans="1:16" s="57" customFormat="1">
      <c r="A75" s="71" t="s">
        <v>2</v>
      </c>
      <c r="B75" s="72">
        <v>1</v>
      </c>
      <c r="C75" s="72"/>
      <c r="D75" s="64"/>
      <c r="E75" s="64"/>
      <c r="F75"/>
      <c r="G75" s="64"/>
      <c r="H75" s="64"/>
      <c r="I75" s="64"/>
      <c r="J75" s="64"/>
      <c r="K75" s="70"/>
      <c r="L75" s="70"/>
      <c r="M75" s="62"/>
      <c r="N75" s="62"/>
      <c r="O75" s="62"/>
      <c r="P75" s="62"/>
    </row>
    <row r="76" spans="1:16" s="57" customFormat="1">
      <c r="A76" s="71" t="s">
        <v>13</v>
      </c>
      <c r="B76" s="93" t="s">
        <v>1392</v>
      </c>
      <c r="C76" s="72"/>
      <c r="D76" s="64"/>
      <c r="E76" s="64"/>
      <c r="F76"/>
      <c r="G76" s="64"/>
      <c r="H76" s="64"/>
      <c r="I76" s="64"/>
      <c r="J76" s="64"/>
      <c r="K76" s="70"/>
      <c r="L76" s="70"/>
      <c r="M76" s="62"/>
      <c r="N76" s="62"/>
      <c r="O76" s="62"/>
      <c r="P76" s="62"/>
    </row>
    <row r="77" spans="1:16" s="57" customFormat="1">
      <c r="A77" s="71" t="s">
        <v>3</v>
      </c>
      <c r="B77" s="73" t="s">
        <v>1227</v>
      </c>
      <c r="C77" s="73"/>
      <c r="D77" s="64"/>
      <c r="E77" s="64"/>
      <c r="F77"/>
      <c r="G77" s="64"/>
      <c r="H77" s="64"/>
      <c r="I77" s="64"/>
      <c r="J77" s="64"/>
      <c r="K77" s="70"/>
      <c r="L77" s="70"/>
      <c r="M77" s="62"/>
      <c r="N77" s="62"/>
      <c r="O77" s="62"/>
      <c r="P77" s="62"/>
    </row>
    <row r="78" spans="1:16" s="57" customFormat="1">
      <c r="A78" s="71" t="s">
        <v>1</v>
      </c>
      <c r="B78" s="72" t="s">
        <v>194</v>
      </c>
      <c r="C78" s="72"/>
      <c r="D78" s="64"/>
      <c r="E78" s="64"/>
      <c r="F78"/>
      <c r="G78" s="64"/>
      <c r="H78" s="64"/>
      <c r="I78" s="64"/>
      <c r="J78" s="64"/>
      <c r="K78" s="70"/>
      <c r="L78" s="70"/>
      <c r="M78" s="62"/>
      <c r="N78" s="62"/>
      <c r="O78" s="62"/>
      <c r="P78" s="62"/>
    </row>
    <row r="79" spans="1:16" s="57" customFormat="1">
      <c r="A79" s="71" t="s">
        <v>7</v>
      </c>
      <c r="B79" s="74" t="s">
        <v>38</v>
      </c>
      <c r="C79" s="74"/>
      <c r="D79" s="64"/>
      <c r="E79" s="64"/>
      <c r="F79"/>
      <c r="G79" s="64"/>
      <c r="H79" s="64"/>
      <c r="I79" s="75"/>
      <c r="J79" s="75"/>
      <c r="K79" s="70"/>
      <c r="L79" s="70"/>
      <c r="M79" s="62"/>
      <c r="N79" s="62"/>
      <c r="O79" s="62"/>
      <c r="P79" s="62"/>
    </row>
    <row r="80" spans="1:16" s="57" customFormat="1">
      <c r="A80" s="75" t="s">
        <v>14</v>
      </c>
      <c r="B80" s="68"/>
      <c r="C80" s="68"/>
      <c r="D80" s="75"/>
      <c r="E80" s="75"/>
      <c r="F80" s="75"/>
      <c r="G80" s="75"/>
      <c r="H80" s="75"/>
      <c r="I80" s="69"/>
      <c r="J80" s="69"/>
      <c r="K80" s="70"/>
      <c r="L80" s="70"/>
      <c r="M80" s="62"/>
      <c r="N80" s="62"/>
      <c r="O80" s="62"/>
      <c r="P80" s="62"/>
    </row>
    <row r="81" spans="1:21" s="57" customFormat="1">
      <c r="A81" s="75" t="s">
        <v>15</v>
      </c>
      <c r="B81" s="75" t="s">
        <v>16</v>
      </c>
      <c r="C81" s="75" t="s">
        <v>17</v>
      </c>
      <c r="D81" s="75" t="s">
        <v>1</v>
      </c>
      <c r="E81" s="75" t="s">
        <v>7</v>
      </c>
      <c r="F81" s="75" t="s">
        <v>5</v>
      </c>
      <c r="G81" s="75" t="s">
        <v>3</v>
      </c>
      <c r="H81" s="75" t="s">
        <v>18</v>
      </c>
      <c r="I81" s="75" t="s">
        <v>13</v>
      </c>
      <c r="J81" s="1"/>
      <c r="K81" s="63"/>
      <c r="L81" s="63"/>
      <c r="M81" s="63"/>
      <c r="N81" s="63"/>
      <c r="O81" s="63"/>
      <c r="P81" s="63"/>
      <c r="Q81" s="1"/>
      <c r="R81" s="1"/>
      <c r="S81" s="45"/>
      <c r="T81" s="1"/>
      <c r="U81" s="45"/>
    </row>
    <row r="82" spans="1:21" s="57" customFormat="1">
      <c r="A82" s="74" t="s">
        <v>1038</v>
      </c>
      <c r="B82" s="74">
        <v>1</v>
      </c>
      <c r="C82" t="s">
        <v>1413</v>
      </c>
      <c r="D82" s="64" t="str">
        <f>B78</f>
        <v>FR</v>
      </c>
      <c r="E82" s="64" t="str">
        <f>B79</f>
        <v>kilogram</v>
      </c>
      <c r="F82" s="64" t="s">
        <v>24</v>
      </c>
      <c r="G82" s="64" t="s">
        <v>1227</v>
      </c>
      <c r="H82" s="69"/>
      <c r="I82" s="69"/>
      <c r="J82" s="64"/>
      <c r="K82" s="70"/>
      <c r="L82" s="70"/>
      <c r="M82" s="62"/>
      <c r="N82" s="62"/>
      <c r="O82" s="62"/>
      <c r="P82" s="62"/>
      <c r="T82"/>
    </row>
    <row r="83" spans="1:21" s="57" customFormat="1">
      <c r="A83" s="74" t="str">
        <f>B98</f>
        <v>electrolyzer, PEM, Stack</v>
      </c>
      <c r="B83" s="64">
        <f>(1/2963200)*4</f>
        <v>1.3498920086393089E-6</v>
      </c>
      <c r="C83" t="s">
        <v>1413</v>
      </c>
      <c r="D83" s="64" t="s">
        <v>20</v>
      </c>
      <c r="E83" s="64" t="s">
        <v>7</v>
      </c>
      <c r="F83" s="64" t="s">
        <v>26</v>
      </c>
      <c r="G83" s="74" t="str">
        <f>B101</f>
        <v>electrolyzer, PEM, Stack</v>
      </c>
      <c r="H83" s="64"/>
      <c r="I83" s="64" t="s">
        <v>1309</v>
      </c>
      <c r="J83" s="76"/>
      <c r="K83" s="77"/>
      <c r="L83" s="77"/>
      <c r="M83" s="54"/>
      <c r="N83" s="54"/>
      <c r="O83" s="54"/>
      <c r="P83" s="54"/>
      <c r="Q83"/>
      <c r="R83"/>
    </row>
    <row r="84" spans="1:21" s="57" customFormat="1">
      <c r="A84" s="74" t="str">
        <f>B137</f>
        <v>electrolyzer, PEM, Balance of Plant</v>
      </c>
      <c r="B84" s="64">
        <f>1/2963200</f>
        <v>3.3747300215982723E-7</v>
      </c>
      <c r="C84" t="s">
        <v>1413</v>
      </c>
      <c r="D84" s="64" t="s">
        <v>20</v>
      </c>
      <c r="E84" s="64" t="s">
        <v>7</v>
      </c>
      <c r="F84" s="64" t="s">
        <v>26</v>
      </c>
      <c r="G84" s="74" t="str">
        <f>B140</f>
        <v>electrolyzer, PEM, Balance of Plant</v>
      </c>
      <c r="H84" s="64"/>
      <c r="I84" s="64" t="s">
        <v>1310</v>
      </c>
      <c r="J84" s="76"/>
      <c r="K84" s="77"/>
      <c r="L84" s="77"/>
      <c r="M84" s="54"/>
      <c r="N84" s="54"/>
      <c r="O84" s="54"/>
      <c r="P84" s="54"/>
      <c r="Q84"/>
      <c r="R84"/>
    </row>
    <row r="85" spans="1:21" s="57" customFormat="1">
      <c r="A85" s="74" t="s">
        <v>1311</v>
      </c>
      <c r="B85" s="64">
        <f>B83*-1</f>
        <v>-1.3498920086393089E-6</v>
      </c>
      <c r="C85" t="s">
        <v>1413</v>
      </c>
      <c r="D85" s="64" t="s">
        <v>20</v>
      </c>
      <c r="E85" s="64" t="s">
        <v>7</v>
      </c>
      <c r="F85" s="64" t="s">
        <v>26</v>
      </c>
      <c r="G85" s="64" t="s">
        <v>1312</v>
      </c>
      <c r="H85" s="64"/>
      <c r="I85" s="64" t="s">
        <v>1313</v>
      </c>
      <c r="J85" s="76"/>
      <c r="K85" s="77"/>
      <c r="L85" s="77"/>
      <c r="M85" s="54"/>
      <c r="N85" s="54"/>
      <c r="O85" s="54"/>
      <c r="P85" s="54"/>
      <c r="Q85"/>
      <c r="R85"/>
    </row>
    <row r="86" spans="1:21" s="57" customFormat="1">
      <c r="A86" s="74" t="s">
        <v>1314</v>
      </c>
      <c r="B86" s="64">
        <f>-1*B84</f>
        <v>-3.3747300215982723E-7</v>
      </c>
      <c r="C86" t="s">
        <v>1413</v>
      </c>
      <c r="D86" s="64" t="s">
        <v>20</v>
      </c>
      <c r="E86" s="64" t="s">
        <v>7</v>
      </c>
      <c r="F86" s="64" t="s">
        <v>26</v>
      </c>
      <c r="G86" s="64" t="s">
        <v>1315</v>
      </c>
      <c r="H86" s="64"/>
      <c r="I86" s="64" t="s">
        <v>1316</v>
      </c>
      <c r="J86" s="76"/>
      <c r="K86" s="77"/>
      <c r="L86" s="77"/>
      <c r="M86" s="54"/>
      <c r="N86" s="54"/>
      <c r="O86" s="54"/>
      <c r="P86" s="54"/>
      <c r="Q86"/>
      <c r="R86"/>
    </row>
    <row r="87" spans="1:21" s="57" customFormat="1">
      <c r="A87" s="51" t="s">
        <v>1216</v>
      </c>
      <c r="B87" s="51">
        <f>33.3+29.8+5.8</f>
        <v>68.899999999999991</v>
      </c>
      <c r="C87" s="74" t="s">
        <v>1367</v>
      </c>
      <c r="D87" t="s">
        <v>194</v>
      </c>
      <c r="E87" t="s">
        <v>8</v>
      </c>
      <c r="F87" t="s">
        <v>26</v>
      </c>
      <c r="G87" t="s">
        <v>4</v>
      </c>
      <c r="H87"/>
      <c r="I87" t="s">
        <v>1412</v>
      </c>
      <c r="J87" s="78"/>
      <c r="K87" s="77"/>
      <c r="L87" s="77"/>
      <c r="M87" s="54"/>
      <c r="N87" s="54"/>
      <c r="O87" s="54"/>
      <c r="P87" s="54"/>
      <c r="Q87"/>
      <c r="R87"/>
    </row>
    <row r="88" spans="1:21" s="57" customFormat="1">
      <c r="A88" s="97" t="s">
        <v>1305</v>
      </c>
      <c r="B88" s="74">
        <v>14</v>
      </c>
      <c r="C88" s="74" t="s">
        <v>1367</v>
      </c>
      <c r="D88" s="64" t="s">
        <v>20</v>
      </c>
      <c r="E88" s="64" t="s">
        <v>38</v>
      </c>
      <c r="F88" s="64" t="s">
        <v>26</v>
      </c>
      <c r="G88" s="64" t="s">
        <v>1306</v>
      </c>
      <c r="H88" s="64"/>
      <c r="I88" s="64" t="s">
        <v>1317</v>
      </c>
      <c r="J88" s="76"/>
      <c r="K88" s="77"/>
      <c r="L88" s="77"/>
      <c r="M88" s="54"/>
      <c r="N88" s="54"/>
      <c r="O88" s="54"/>
      <c r="P88" s="54"/>
      <c r="Q88"/>
      <c r="R88"/>
    </row>
    <row r="89" spans="1:21" s="57" customFormat="1">
      <c r="A89" s="79" t="s">
        <v>175</v>
      </c>
      <c r="B89" s="73">
        <v>8</v>
      </c>
      <c r="C89" t="s">
        <v>172</v>
      </c>
      <c r="D89" s="79"/>
      <c r="E89" s="79" t="s">
        <v>38</v>
      </c>
      <c r="F89" s="79" t="s">
        <v>126</v>
      </c>
      <c r="G89" s="79"/>
      <c r="H89" s="79" t="s">
        <v>127</v>
      </c>
      <c r="I89" s="80"/>
      <c r="J89" s="76"/>
      <c r="K89" s="77"/>
      <c r="L89" s="77"/>
      <c r="M89" s="54"/>
      <c r="N89" s="54"/>
      <c r="O89" s="54"/>
      <c r="P89" s="54"/>
      <c r="Q89" s="54"/>
      <c r="R89"/>
    </row>
    <row r="90" spans="1:21">
      <c r="A90" s="51" t="s">
        <v>630</v>
      </c>
      <c r="B90" s="51">
        <v>0.05</v>
      </c>
      <c r="C90" t="s">
        <v>172</v>
      </c>
      <c r="E90" t="s">
        <v>38</v>
      </c>
      <c r="F90" t="s">
        <v>126</v>
      </c>
      <c r="H90" t="s">
        <v>127</v>
      </c>
      <c r="I90" t="s">
        <v>1307</v>
      </c>
    </row>
    <row r="91" spans="1:21" s="57" customFormat="1">
      <c r="A91" s="106" t="s">
        <v>597</v>
      </c>
      <c r="B91" s="106">
        <v>1.95E-2</v>
      </c>
      <c r="C91" t="s">
        <v>172</v>
      </c>
      <c r="D91"/>
      <c r="E91" t="s">
        <v>119</v>
      </c>
      <c r="F91" t="s">
        <v>126</v>
      </c>
      <c r="G91"/>
      <c r="H91" t="s">
        <v>222</v>
      </c>
      <c r="I91" s="105" t="s">
        <v>1401</v>
      </c>
      <c r="J91" s="76"/>
      <c r="K91" s="77"/>
      <c r="L91" s="77"/>
      <c r="M91" s="54"/>
      <c r="N91" s="54"/>
      <c r="O91" s="54"/>
      <c r="P91" s="54"/>
      <c r="Q91" s="54"/>
      <c r="R91"/>
    </row>
    <row r="92" spans="1:21" s="57" customFormat="1">
      <c r="A92" s="106" t="s">
        <v>595</v>
      </c>
      <c r="B92" s="106">
        <v>1.46E-2</v>
      </c>
      <c r="C92" t="s">
        <v>172</v>
      </c>
      <c r="D92"/>
      <c r="E92" t="s">
        <v>119</v>
      </c>
      <c r="F92" t="s">
        <v>126</v>
      </c>
      <c r="G92"/>
      <c r="H92" t="s">
        <v>127</v>
      </c>
      <c r="I92" s="105" t="s">
        <v>1401</v>
      </c>
      <c r="J92" s="76"/>
      <c r="K92" s="77"/>
      <c r="L92" s="77"/>
      <c r="M92" s="54"/>
      <c r="N92" s="54"/>
      <c r="O92" s="54"/>
      <c r="P92" s="54"/>
      <c r="Q92" s="54"/>
      <c r="R92"/>
    </row>
    <row r="93" spans="1:21" s="57" customFormat="1">
      <c r="A93" s="106" t="s">
        <v>595</v>
      </c>
      <c r="B93" s="106">
        <v>4.8999999999999998E-3</v>
      </c>
      <c r="C93" t="s">
        <v>172</v>
      </c>
      <c r="D93"/>
      <c r="E93" t="s">
        <v>119</v>
      </c>
      <c r="F93" t="s">
        <v>126</v>
      </c>
      <c r="G93"/>
      <c r="H93" t="s">
        <v>596</v>
      </c>
      <c r="I93" s="105" t="s">
        <v>1401</v>
      </c>
      <c r="J93" s="76"/>
      <c r="K93" s="77"/>
      <c r="L93" s="77"/>
      <c r="M93" s="54"/>
      <c r="N93" s="54"/>
      <c r="O93" s="54"/>
      <c r="P93" s="54"/>
      <c r="Q93" s="54"/>
      <c r="R93"/>
    </row>
    <row r="94" spans="1:21" s="57" customFormat="1">
      <c r="A94" s="81" t="s">
        <v>187</v>
      </c>
      <c r="B94" s="82">
        <f>(0.09*1000)/(2963200/20)</f>
        <v>6.0745140388768898E-4</v>
      </c>
      <c r="C94" t="s">
        <v>172</v>
      </c>
      <c r="D94" s="81"/>
      <c r="E94" s="81" t="s">
        <v>188</v>
      </c>
      <c r="F94" s="81" t="s">
        <v>126</v>
      </c>
      <c r="G94" s="64"/>
      <c r="H94" s="81" t="s">
        <v>185</v>
      </c>
      <c r="I94" s="81" t="s">
        <v>1318</v>
      </c>
      <c r="J94" s="76"/>
      <c r="K94" s="77"/>
      <c r="L94" s="77"/>
      <c r="M94" s="54"/>
      <c r="N94" s="54"/>
      <c r="O94" s="54"/>
      <c r="P94" s="54"/>
      <c r="Q94" s="54"/>
      <c r="R94"/>
    </row>
    <row r="95" spans="1:21" s="57" customFormat="1">
      <c r="A95" s="81" t="s">
        <v>355</v>
      </c>
      <c r="B95" s="82">
        <f>(0.09*1000)/2963200</f>
        <v>3.0372570194384448E-5</v>
      </c>
      <c r="C95" t="s">
        <v>172</v>
      </c>
      <c r="D95" s="81"/>
      <c r="E95" s="81" t="s">
        <v>114</v>
      </c>
      <c r="F95" s="81" t="s">
        <v>126</v>
      </c>
      <c r="G95" s="64"/>
      <c r="H95" s="81" t="s">
        <v>185</v>
      </c>
      <c r="I95" s="81" t="s">
        <v>1319</v>
      </c>
      <c r="J95" s="76"/>
      <c r="K95" s="77"/>
      <c r="L95" s="77"/>
      <c r="M95" s="54"/>
      <c r="N95" s="54"/>
      <c r="O95" s="54"/>
      <c r="P95" s="54"/>
      <c r="Q95" s="54"/>
      <c r="R95"/>
    </row>
    <row r="96" spans="1:21" s="57" customFormat="1">
      <c r="A96" s="81" t="s">
        <v>186</v>
      </c>
      <c r="B96" s="82">
        <f>(0.09*1000)/2963200</f>
        <v>3.0372570194384448E-5</v>
      </c>
      <c r="C96" t="s">
        <v>172</v>
      </c>
      <c r="D96" s="81"/>
      <c r="E96" s="81" t="s">
        <v>114</v>
      </c>
      <c r="F96" s="81" t="s">
        <v>126</v>
      </c>
      <c r="G96" s="64"/>
      <c r="H96" s="81" t="s">
        <v>185</v>
      </c>
      <c r="I96" s="81" t="s">
        <v>1319</v>
      </c>
      <c r="J96" s="83"/>
      <c r="K96" s="70"/>
      <c r="L96" s="70"/>
      <c r="M96" s="62"/>
      <c r="N96" s="62"/>
      <c r="O96" s="62"/>
      <c r="P96" s="62"/>
    </row>
    <row r="97" spans="1:20" s="57" customFormat="1">
      <c r="A97" s="83"/>
      <c r="B97" s="83"/>
      <c r="C97" s="83"/>
      <c r="D97" s="83"/>
      <c r="E97" s="83"/>
      <c r="F97" s="83"/>
      <c r="G97" s="83"/>
      <c r="H97" s="83"/>
      <c r="I97" s="83"/>
      <c r="J97" s="64"/>
      <c r="K97" s="70"/>
      <c r="L97" s="70"/>
      <c r="M97" s="62"/>
      <c r="N97" s="62"/>
      <c r="O97" s="62"/>
      <c r="P97" s="62"/>
    </row>
    <row r="98" spans="1:20" s="57" customFormat="1">
      <c r="A98" s="67" t="s">
        <v>0</v>
      </c>
      <c r="B98" s="68" t="s">
        <v>1397</v>
      </c>
      <c r="C98" s="68"/>
      <c r="D98" s="64"/>
      <c r="E98" s="64"/>
      <c r="F98" s="64"/>
      <c r="G98" s="64"/>
      <c r="H98" s="64"/>
      <c r="I98" s="64"/>
      <c r="J98" s="64"/>
      <c r="K98" s="70"/>
      <c r="L98" s="70"/>
      <c r="M98" s="62"/>
      <c r="N98" s="62"/>
      <c r="O98" s="62"/>
      <c r="P98" s="62"/>
    </row>
    <row r="99" spans="1:20" s="57" customFormat="1">
      <c r="A99" s="71" t="s">
        <v>2</v>
      </c>
      <c r="B99" s="72">
        <v>1</v>
      </c>
      <c r="C99" s="72"/>
      <c r="D99" s="64"/>
      <c r="E99" s="64"/>
      <c r="F99" s="64"/>
      <c r="G99" s="64"/>
      <c r="H99" s="64"/>
      <c r="I99" s="64"/>
      <c r="J99" s="64"/>
      <c r="K99" s="70"/>
      <c r="L99" s="70"/>
      <c r="M99" s="62"/>
      <c r="N99" s="62"/>
      <c r="O99" s="62"/>
      <c r="P99" s="62"/>
    </row>
    <row r="100" spans="1:20" s="57" customFormat="1">
      <c r="A100" s="71" t="s">
        <v>13</v>
      </c>
      <c r="B100" s="72" t="s">
        <v>1387</v>
      </c>
      <c r="C100" s="72"/>
      <c r="D100" s="64"/>
      <c r="E100" s="64"/>
      <c r="F100" s="64"/>
      <c r="G100" s="64"/>
      <c r="H100" s="64"/>
      <c r="I100" s="64"/>
      <c r="J100" s="64"/>
      <c r="K100" s="70"/>
      <c r="L100" s="70"/>
      <c r="M100" s="62"/>
      <c r="N100" s="62"/>
      <c r="O100" s="62"/>
      <c r="P100" s="62"/>
    </row>
    <row r="101" spans="1:20" s="57" customFormat="1">
      <c r="A101" s="71" t="s">
        <v>3</v>
      </c>
      <c r="B101" s="74" t="s">
        <v>1397</v>
      </c>
      <c r="C101" s="74"/>
      <c r="D101" s="64"/>
      <c r="E101" s="64"/>
      <c r="F101" s="64"/>
      <c r="G101" s="64"/>
      <c r="H101" s="64"/>
      <c r="I101" s="64"/>
      <c r="J101" s="64"/>
      <c r="K101" s="70"/>
      <c r="L101" s="70"/>
      <c r="M101" s="62"/>
      <c r="N101" s="62"/>
      <c r="O101" s="62"/>
      <c r="P101" s="62"/>
    </row>
    <row r="102" spans="1:20" s="57" customFormat="1">
      <c r="A102" s="71" t="s">
        <v>1</v>
      </c>
      <c r="B102" s="72" t="s">
        <v>20</v>
      </c>
      <c r="C102" s="72"/>
      <c r="D102" s="64"/>
      <c r="E102" s="64"/>
      <c r="F102" s="64"/>
      <c r="G102" s="64"/>
      <c r="H102" s="64"/>
      <c r="I102" s="64"/>
      <c r="J102" s="64"/>
      <c r="K102" s="70"/>
      <c r="L102" s="70"/>
      <c r="M102" s="62"/>
      <c r="N102" s="62"/>
      <c r="O102" s="62"/>
      <c r="P102" s="62"/>
    </row>
    <row r="103" spans="1:20" s="57" customFormat="1">
      <c r="A103" s="71" t="s">
        <v>7</v>
      </c>
      <c r="B103" s="74" t="s">
        <v>7</v>
      </c>
      <c r="C103" s="74"/>
      <c r="D103" s="64"/>
      <c r="E103" s="64"/>
      <c r="F103" s="64"/>
      <c r="G103" s="64"/>
      <c r="H103" s="64"/>
      <c r="I103" s="64"/>
      <c r="J103" s="75"/>
      <c r="K103" s="70"/>
      <c r="L103" s="70"/>
      <c r="M103" s="62"/>
      <c r="N103" s="62"/>
      <c r="O103" s="62"/>
      <c r="P103" s="62"/>
    </row>
    <row r="104" spans="1:20" s="57" customFormat="1">
      <c r="A104" s="75" t="s">
        <v>14</v>
      </c>
      <c r="B104" s="68"/>
      <c r="C104" s="68"/>
      <c r="D104" s="75"/>
      <c r="E104" s="75"/>
      <c r="F104" s="75"/>
      <c r="G104" s="75"/>
      <c r="H104" s="75"/>
      <c r="I104" s="75"/>
      <c r="J104" s="1"/>
      <c r="K104" s="63"/>
      <c r="L104" s="63"/>
      <c r="M104" s="63"/>
      <c r="N104" s="63"/>
      <c r="O104" s="63"/>
      <c r="P104" s="63"/>
      <c r="Q104" s="1"/>
      <c r="R104" s="1"/>
      <c r="S104" s="45"/>
      <c r="T104" s="1"/>
    </row>
    <row r="105" spans="1:20" s="57" customFormat="1">
      <c r="A105" s="75" t="s">
        <v>15</v>
      </c>
      <c r="B105" s="68" t="s">
        <v>16</v>
      </c>
      <c r="C105" s="68" t="s">
        <v>17</v>
      </c>
      <c r="D105" s="75" t="s">
        <v>1</v>
      </c>
      <c r="E105" s="75" t="s">
        <v>7</v>
      </c>
      <c r="F105" s="75" t="s">
        <v>5</v>
      </c>
      <c r="G105" s="75" t="s">
        <v>3</v>
      </c>
      <c r="H105" s="84" t="s">
        <v>18</v>
      </c>
      <c r="I105" s="84" t="s">
        <v>13</v>
      </c>
      <c r="J105" s="64"/>
      <c r="K105" s="70"/>
      <c r="L105" s="70"/>
      <c r="M105" s="62"/>
      <c r="N105" s="62"/>
      <c r="O105" s="62"/>
      <c r="P105" s="62"/>
    </row>
    <row r="106" spans="1:20" s="57" customFormat="1">
      <c r="A106" t="s">
        <v>1397</v>
      </c>
      <c r="B106" s="70">
        <v>1</v>
      </c>
      <c r="C106" s="74" t="s">
        <v>1413</v>
      </c>
      <c r="D106" s="64" t="s">
        <v>20</v>
      </c>
      <c r="E106" s="64" t="str">
        <f>B103</f>
        <v>unit</v>
      </c>
      <c r="F106" s="64" t="s">
        <v>24</v>
      </c>
      <c r="G106" s="64" t="str">
        <f>B101</f>
        <v>electrolyzer, PEM, Stack</v>
      </c>
      <c r="H106" s="64"/>
      <c r="I106" s="64"/>
      <c r="J106" s="76"/>
      <c r="K106" s="77"/>
      <c r="L106" s="77"/>
      <c r="M106" s="54"/>
      <c r="N106" s="54"/>
      <c r="O106" s="54"/>
      <c r="P106" s="54"/>
      <c r="Q106"/>
      <c r="R106"/>
    </row>
    <row r="107" spans="1:20" s="57" customFormat="1">
      <c r="A107" s="64" t="s">
        <v>44</v>
      </c>
      <c r="B107" s="70">
        <v>27</v>
      </c>
      <c r="C107" s="74" t="s">
        <v>1367</v>
      </c>
      <c r="D107" s="64" t="s">
        <v>34</v>
      </c>
      <c r="E107" s="64" t="s">
        <v>38</v>
      </c>
      <c r="F107" s="64" t="s">
        <v>26</v>
      </c>
      <c r="G107" s="64" t="s">
        <v>45</v>
      </c>
      <c r="H107" s="64"/>
      <c r="I107" s="64" t="s">
        <v>1320</v>
      </c>
      <c r="J107" s="76"/>
      <c r="K107" s="77"/>
      <c r="L107" s="77"/>
      <c r="M107" s="54"/>
      <c r="N107" s="54"/>
      <c r="O107" s="54"/>
      <c r="P107" s="54"/>
      <c r="Q107"/>
      <c r="R107"/>
    </row>
    <row r="108" spans="1:20" s="57" customFormat="1">
      <c r="A108" s="64" t="s">
        <v>1018</v>
      </c>
      <c r="B108" s="70">
        <v>27</v>
      </c>
      <c r="C108" s="74" t="s">
        <v>1367</v>
      </c>
      <c r="D108" s="64" t="s">
        <v>34</v>
      </c>
      <c r="E108" s="64" t="s">
        <v>38</v>
      </c>
      <c r="F108" s="64" t="s">
        <v>26</v>
      </c>
      <c r="G108" s="64" t="s">
        <v>190</v>
      </c>
      <c r="H108" s="64"/>
      <c r="I108" s="64" t="s">
        <v>1320</v>
      </c>
      <c r="J108" s="76"/>
      <c r="K108" s="77"/>
      <c r="L108" s="77"/>
      <c r="M108" s="54"/>
      <c r="N108" s="54"/>
      <c r="O108" s="54"/>
      <c r="P108" s="54"/>
      <c r="Q108"/>
      <c r="R108"/>
    </row>
    <row r="109" spans="1:20" s="57" customFormat="1">
      <c r="A109" s="64" t="s">
        <v>196</v>
      </c>
      <c r="B109" s="70">
        <v>528</v>
      </c>
      <c r="C109" s="74" t="s">
        <v>1367</v>
      </c>
      <c r="D109" s="64" t="s">
        <v>34</v>
      </c>
      <c r="E109" s="64" t="s">
        <v>38</v>
      </c>
      <c r="F109" s="64" t="s">
        <v>26</v>
      </c>
      <c r="G109" s="64" t="s">
        <v>197</v>
      </c>
      <c r="H109" s="64"/>
      <c r="I109" s="64" t="s">
        <v>1321</v>
      </c>
      <c r="J109" s="76"/>
      <c r="K109" s="77"/>
      <c r="L109" s="77"/>
      <c r="M109" s="54"/>
      <c r="N109" s="54"/>
      <c r="O109" s="54"/>
      <c r="P109" s="54"/>
      <c r="Q109"/>
      <c r="R109"/>
    </row>
    <row r="110" spans="1:20" s="57" customFormat="1">
      <c r="A110" s="64" t="s">
        <v>57</v>
      </c>
      <c r="B110" s="70">
        <v>16</v>
      </c>
      <c r="C110" s="74" t="s">
        <v>1367</v>
      </c>
      <c r="D110" s="64" t="s">
        <v>34</v>
      </c>
      <c r="E110" s="64" t="s">
        <v>38</v>
      </c>
      <c r="F110" s="64" t="s">
        <v>26</v>
      </c>
      <c r="G110" s="64" t="s">
        <v>58</v>
      </c>
      <c r="H110" s="64"/>
      <c r="I110" s="64" t="s">
        <v>1322</v>
      </c>
      <c r="J110" s="76"/>
      <c r="K110" s="77"/>
      <c r="L110" s="77"/>
      <c r="M110" s="54"/>
      <c r="N110" s="54"/>
      <c r="O110" s="54"/>
      <c r="P110" s="54"/>
      <c r="Q110"/>
      <c r="R110"/>
    </row>
    <row r="111" spans="1:20" s="57" customFormat="1">
      <c r="A111" s="64" t="s">
        <v>1323</v>
      </c>
      <c r="B111" s="70">
        <v>4.5</v>
      </c>
      <c r="C111" s="74" t="s">
        <v>1367</v>
      </c>
      <c r="D111" s="64" t="s">
        <v>34</v>
      </c>
      <c r="E111" s="64" t="s">
        <v>38</v>
      </c>
      <c r="F111" s="64" t="s">
        <v>26</v>
      </c>
      <c r="G111" s="64" t="s">
        <v>1324</v>
      </c>
      <c r="H111" s="64"/>
      <c r="I111" s="64" t="s">
        <v>1325</v>
      </c>
      <c r="J111" s="76"/>
      <c r="K111" s="77"/>
      <c r="L111" s="77"/>
      <c r="M111" s="54"/>
      <c r="N111" s="54"/>
      <c r="O111" s="54"/>
      <c r="P111" s="54"/>
      <c r="Q111"/>
      <c r="R111"/>
    </row>
    <row r="112" spans="1:20" s="57" customFormat="1">
      <c r="A112" s="64" t="s">
        <v>1326</v>
      </c>
      <c r="B112" s="70">
        <v>0.8</v>
      </c>
      <c r="C112" s="74" t="s">
        <v>1367</v>
      </c>
      <c r="D112" s="64" t="s">
        <v>622</v>
      </c>
      <c r="E112" s="64" t="s">
        <v>38</v>
      </c>
      <c r="F112" s="64" t="s">
        <v>26</v>
      </c>
      <c r="G112" s="64" t="s">
        <v>1114</v>
      </c>
      <c r="H112" s="64"/>
      <c r="I112" s="64" t="s">
        <v>1325</v>
      </c>
      <c r="J112" s="77"/>
      <c r="K112" s="77"/>
      <c r="L112" s="77"/>
      <c r="M112" s="54"/>
      <c r="N112" s="54"/>
      <c r="O112" s="54"/>
      <c r="P112" s="54"/>
      <c r="Q112"/>
      <c r="R112"/>
    </row>
    <row r="113" spans="1:20" s="57" customFormat="1">
      <c r="A113" s="64" t="s">
        <v>178</v>
      </c>
      <c r="B113" s="70">
        <f>0.75/1000*1000</f>
        <v>0.75</v>
      </c>
      <c r="C113" s="74" t="s">
        <v>1367</v>
      </c>
      <c r="D113" s="64" t="s">
        <v>34</v>
      </c>
      <c r="E113" s="64" t="s">
        <v>38</v>
      </c>
      <c r="F113" s="64" t="s">
        <v>26</v>
      </c>
      <c r="G113" s="64" t="s">
        <v>179</v>
      </c>
      <c r="H113" s="69"/>
      <c r="I113" s="69" t="s">
        <v>1327</v>
      </c>
      <c r="J113" s="76"/>
      <c r="K113" s="77"/>
      <c r="L113" s="77"/>
      <c r="M113" s="54"/>
      <c r="N113" s="54"/>
      <c r="O113" s="54"/>
      <c r="P113" s="54"/>
      <c r="Q113"/>
      <c r="R113"/>
    </row>
    <row r="114" spans="1:20" s="57" customFormat="1">
      <c r="A114" s="64" t="s">
        <v>1323</v>
      </c>
      <c r="B114" s="70">
        <v>4.5</v>
      </c>
      <c r="C114" s="74" t="s">
        <v>1367</v>
      </c>
      <c r="D114" s="64" t="s">
        <v>34</v>
      </c>
      <c r="E114" s="64" t="s">
        <v>38</v>
      </c>
      <c r="F114" s="64" t="s">
        <v>26</v>
      </c>
      <c r="G114" s="64" t="s">
        <v>1324</v>
      </c>
      <c r="H114" s="64"/>
      <c r="I114" s="69" t="s">
        <v>1328</v>
      </c>
      <c r="J114" s="76"/>
      <c r="K114" s="77"/>
      <c r="L114" s="77"/>
      <c r="M114" s="54"/>
      <c r="N114" s="54"/>
      <c r="O114" s="54"/>
      <c r="P114" s="54"/>
      <c r="Q114"/>
      <c r="R114"/>
    </row>
    <row r="115" spans="1:20" s="57" customFormat="1">
      <c r="A115" s="64" t="s">
        <v>67</v>
      </c>
      <c r="B115" s="70">
        <v>4.5</v>
      </c>
      <c r="C115" s="74" t="s">
        <v>1367</v>
      </c>
      <c r="D115" s="64" t="s">
        <v>34</v>
      </c>
      <c r="E115" s="64" t="s">
        <v>38</v>
      </c>
      <c r="F115" s="64" t="s">
        <v>26</v>
      </c>
      <c r="G115" s="64" t="s">
        <v>68</v>
      </c>
      <c r="H115" s="64"/>
      <c r="I115" s="64" t="s">
        <v>1329</v>
      </c>
      <c r="J115" s="76"/>
      <c r="K115" s="77"/>
      <c r="L115" s="77"/>
      <c r="M115" s="54"/>
      <c r="N115" s="54"/>
      <c r="O115" s="54"/>
      <c r="P115" s="54"/>
      <c r="Q115"/>
      <c r="R115"/>
    </row>
    <row r="116" spans="1:20" s="57" customFormat="1">
      <c r="A116" s="64" t="s">
        <v>1019</v>
      </c>
      <c r="B116" s="70">
        <v>4.5</v>
      </c>
      <c r="C116" s="74" t="s">
        <v>1367</v>
      </c>
      <c r="D116" s="64" t="s">
        <v>34</v>
      </c>
      <c r="E116" s="64" t="s">
        <v>38</v>
      </c>
      <c r="F116" s="64" t="s">
        <v>26</v>
      </c>
      <c r="G116" s="64" t="s">
        <v>1020</v>
      </c>
      <c r="H116" s="64"/>
      <c r="I116" s="64" t="s">
        <v>1329</v>
      </c>
      <c r="J116" s="76"/>
      <c r="K116" s="77"/>
      <c r="L116" s="77"/>
      <c r="M116" s="54"/>
      <c r="N116" s="54"/>
      <c r="O116" s="54"/>
      <c r="P116" s="54"/>
      <c r="Q116"/>
      <c r="R116"/>
    </row>
    <row r="117" spans="1:20" s="57" customFormat="1">
      <c r="A117" s="64" t="s">
        <v>1021</v>
      </c>
      <c r="B117" s="70">
        <v>100</v>
      </c>
      <c r="C117" s="74" t="s">
        <v>1367</v>
      </c>
      <c r="D117" s="64" t="s">
        <v>34</v>
      </c>
      <c r="E117" s="64" t="s">
        <v>38</v>
      </c>
      <c r="F117" s="64" t="s">
        <v>26</v>
      </c>
      <c r="G117" s="64" t="s">
        <v>1022</v>
      </c>
      <c r="H117" s="64"/>
      <c r="I117" s="64" t="s">
        <v>1330</v>
      </c>
      <c r="J117" s="76"/>
      <c r="K117" s="77"/>
      <c r="L117" s="77"/>
      <c r="M117" s="54"/>
      <c r="N117" s="54"/>
      <c r="O117" s="54"/>
      <c r="P117" s="54"/>
      <c r="Q117"/>
      <c r="R117"/>
    </row>
    <row r="118" spans="1:20" s="57" customFormat="1">
      <c r="A118" s="64" t="s">
        <v>71</v>
      </c>
      <c r="B118" s="70">
        <v>100</v>
      </c>
      <c r="C118" s="74" t="s">
        <v>1367</v>
      </c>
      <c r="D118" s="64" t="s">
        <v>34</v>
      </c>
      <c r="E118" s="64" t="s">
        <v>38</v>
      </c>
      <c r="F118" s="64" t="s">
        <v>26</v>
      </c>
      <c r="G118" s="64" t="s">
        <v>72</v>
      </c>
      <c r="H118" s="64"/>
      <c r="I118" s="64" t="s">
        <v>1330</v>
      </c>
      <c r="J118" s="76"/>
      <c r="K118" s="77"/>
      <c r="L118" s="77"/>
      <c r="M118" s="54"/>
      <c r="N118" s="54"/>
      <c r="O118" s="54"/>
      <c r="P118" s="54"/>
      <c r="Q118"/>
      <c r="R118"/>
    </row>
    <row r="119" spans="1:20" s="57" customFormat="1">
      <c r="A119" s="64" t="s">
        <v>78</v>
      </c>
      <c r="B119" s="70">
        <v>4.8</v>
      </c>
      <c r="C119" s="74" t="s">
        <v>1367</v>
      </c>
      <c r="D119" s="64" t="s">
        <v>34</v>
      </c>
      <c r="E119" s="64" t="s">
        <v>38</v>
      </c>
      <c r="F119" s="64" t="s">
        <v>26</v>
      </c>
      <c r="G119" s="64" t="s">
        <v>79</v>
      </c>
      <c r="H119" s="64"/>
      <c r="I119" s="64" t="s">
        <v>1331</v>
      </c>
      <c r="J119" s="76"/>
      <c r="K119" s="77"/>
      <c r="L119" s="77"/>
      <c r="M119" s="54"/>
      <c r="N119" s="54"/>
      <c r="O119" s="54"/>
      <c r="P119" s="54"/>
      <c r="Q119"/>
      <c r="R119"/>
    </row>
    <row r="120" spans="1:20" s="57" customFormat="1">
      <c r="A120" s="64" t="s">
        <v>25</v>
      </c>
      <c r="B120" s="70">
        <v>103890.7681</v>
      </c>
      <c r="C120" s="74" t="s">
        <v>1367</v>
      </c>
      <c r="D120" s="64" t="s">
        <v>34</v>
      </c>
      <c r="E120" s="64" t="s">
        <v>8</v>
      </c>
      <c r="F120" s="64" t="s">
        <v>26</v>
      </c>
      <c r="G120" s="69" t="s">
        <v>4</v>
      </c>
      <c r="H120" s="69"/>
      <c r="I120" s="64" t="s">
        <v>1332</v>
      </c>
      <c r="J120" s="83"/>
      <c r="K120" s="70"/>
      <c r="L120" s="70"/>
      <c r="M120" s="62"/>
      <c r="N120" s="62"/>
      <c r="O120" s="62"/>
      <c r="P120" s="62"/>
    </row>
    <row r="121" spans="1:20" s="57" customFormat="1">
      <c r="A121" s="83"/>
      <c r="B121" s="85"/>
      <c r="C121" s="85"/>
      <c r="D121" s="83"/>
      <c r="E121" s="83"/>
      <c r="F121" s="83"/>
      <c r="G121" s="83"/>
      <c r="H121" s="83"/>
      <c r="I121" s="83"/>
      <c r="J121" s="64"/>
      <c r="K121" s="70"/>
      <c r="L121" s="70"/>
      <c r="M121" s="62"/>
      <c r="N121" s="62"/>
      <c r="O121" s="62"/>
      <c r="P121" s="62"/>
    </row>
    <row r="122" spans="1:20" s="57" customFormat="1">
      <c r="A122" s="67" t="s">
        <v>0</v>
      </c>
      <c r="B122" s="68" t="s">
        <v>1311</v>
      </c>
      <c r="C122" s="68"/>
      <c r="D122" s="64"/>
      <c r="E122" s="64"/>
      <c r="F122" s="64"/>
      <c r="G122" s="64"/>
      <c r="H122" s="64"/>
      <c r="I122" s="64"/>
      <c r="J122" s="64"/>
      <c r="K122" s="70"/>
      <c r="L122" s="70"/>
      <c r="M122" s="62"/>
      <c r="N122" s="62"/>
      <c r="O122" s="62"/>
      <c r="P122" s="62"/>
    </row>
    <row r="123" spans="1:20" s="57" customFormat="1">
      <c r="A123" s="71" t="s">
        <v>2</v>
      </c>
      <c r="B123" s="72">
        <v>1</v>
      </c>
      <c r="C123" s="72"/>
      <c r="D123" s="64"/>
      <c r="E123" s="64"/>
      <c r="F123" s="64"/>
      <c r="G123" s="64"/>
      <c r="H123" s="64"/>
      <c r="I123" s="64"/>
      <c r="J123" s="64"/>
      <c r="K123" s="70"/>
      <c r="L123" s="70"/>
      <c r="M123" s="62"/>
      <c r="N123" s="62"/>
      <c r="O123" s="62"/>
      <c r="P123" s="62"/>
    </row>
    <row r="124" spans="1:20" s="57" customFormat="1">
      <c r="A124" s="71" t="s">
        <v>13</v>
      </c>
      <c r="B124" s="72" t="s">
        <v>1387</v>
      </c>
      <c r="C124" s="72"/>
      <c r="D124" s="64"/>
      <c r="E124" s="64"/>
      <c r="F124" s="64"/>
      <c r="G124" s="64"/>
      <c r="H124" s="64"/>
      <c r="I124" s="64"/>
      <c r="J124" s="64"/>
      <c r="K124" s="70"/>
      <c r="L124" s="70"/>
      <c r="M124" s="62"/>
      <c r="N124" s="62"/>
      <c r="O124" s="62"/>
      <c r="P124" s="62"/>
    </row>
    <row r="125" spans="1:20" s="57" customFormat="1">
      <c r="A125" s="71" t="s">
        <v>3</v>
      </c>
      <c r="B125" s="74" t="s">
        <v>1312</v>
      </c>
      <c r="C125" s="74"/>
      <c r="D125" s="64"/>
      <c r="E125" s="64"/>
      <c r="F125" s="64"/>
      <c r="G125" s="64"/>
      <c r="H125" s="64"/>
      <c r="I125" s="64"/>
      <c r="J125" s="64"/>
      <c r="K125" s="70"/>
      <c r="L125" s="70"/>
      <c r="M125" s="62"/>
      <c r="N125" s="62"/>
      <c r="O125" s="62"/>
      <c r="P125" s="62"/>
    </row>
    <row r="126" spans="1:20" s="57" customFormat="1">
      <c r="A126" s="71" t="s">
        <v>1</v>
      </c>
      <c r="B126" s="72" t="s">
        <v>20</v>
      </c>
      <c r="C126" s="72"/>
      <c r="D126" s="64"/>
      <c r="E126" s="64"/>
      <c r="F126" s="64"/>
      <c r="G126" s="64"/>
      <c r="H126" s="64"/>
      <c r="I126" s="64"/>
      <c r="J126" s="64"/>
      <c r="K126" s="70"/>
      <c r="L126" s="70"/>
      <c r="M126" s="62"/>
      <c r="N126" s="62"/>
      <c r="O126" s="62"/>
      <c r="P126" s="62"/>
    </row>
    <row r="127" spans="1:20" s="57" customFormat="1">
      <c r="A127" s="71" t="s">
        <v>7</v>
      </c>
      <c r="B127" s="74" t="s">
        <v>7</v>
      </c>
      <c r="C127" s="74"/>
      <c r="D127" s="64"/>
      <c r="E127" s="64"/>
      <c r="F127" s="64"/>
      <c r="G127" s="64"/>
      <c r="H127" s="64"/>
      <c r="I127" s="64"/>
      <c r="J127" s="75"/>
      <c r="K127" s="70"/>
      <c r="L127" s="70"/>
      <c r="M127" s="62"/>
      <c r="N127" s="62"/>
      <c r="O127" s="62"/>
      <c r="P127" s="62"/>
    </row>
    <row r="128" spans="1:20" s="57" customFormat="1">
      <c r="A128" s="75" t="s">
        <v>14</v>
      </c>
      <c r="B128" s="68"/>
      <c r="C128" s="68"/>
      <c r="D128" s="75"/>
      <c r="E128" s="75"/>
      <c r="F128" s="75"/>
      <c r="G128" s="75"/>
      <c r="H128" s="75"/>
      <c r="I128" s="75"/>
      <c r="J128" s="1"/>
      <c r="K128" s="63"/>
      <c r="L128" s="63"/>
      <c r="M128" s="63"/>
      <c r="N128" s="63"/>
      <c r="O128" s="63"/>
      <c r="P128" s="63"/>
      <c r="Q128" s="1"/>
      <c r="R128" s="1"/>
      <c r="S128" s="45"/>
      <c r="T128" s="1"/>
    </row>
    <row r="129" spans="1:20" s="57" customFormat="1">
      <c r="A129" s="75" t="s">
        <v>15</v>
      </c>
      <c r="B129" s="68" t="s">
        <v>16</v>
      </c>
      <c r="C129" s="68" t="s">
        <v>17</v>
      </c>
      <c r="D129" s="75" t="s">
        <v>1</v>
      </c>
      <c r="E129" s="75" t="s">
        <v>7</v>
      </c>
      <c r="F129" s="75" t="s">
        <v>5</v>
      </c>
      <c r="G129" s="75" t="s">
        <v>3</v>
      </c>
      <c r="H129" s="84" t="s">
        <v>18</v>
      </c>
      <c r="I129" s="84" t="s">
        <v>13</v>
      </c>
      <c r="J129" s="64"/>
      <c r="K129" s="70"/>
      <c r="L129" s="70"/>
      <c r="M129" s="62"/>
      <c r="N129" s="62"/>
      <c r="O129" s="62"/>
      <c r="P129" s="62"/>
    </row>
    <row r="130" spans="1:20" s="57" customFormat="1">
      <c r="A130" s="74" t="str">
        <f>B122</f>
        <v>treatment of electrolyzer stack, 1MWe, PEM</v>
      </c>
      <c r="B130" s="70">
        <v>-1</v>
      </c>
      <c r="C130" s="74" t="s">
        <v>1413</v>
      </c>
      <c r="D130" s="64" t="s">
        <v>20</v>
      </c>
      <c r="E130" s="64" t="str">
        <f>B127</f>
        <v>unit</v>
      </c>
      <c r="F130" s="64" t="s">
        <v>24</v>
      </c>
      <c r="G130" s="64" t="str">
        <f>B125</f>
        <v>used electrolyzer stack, 1MWe, PEM</v>
      </c>
      <c r="H130" s="64"/>
      <c r="I130" s="64"/>
      <c r="J130" s="76"/>
      <c r="K130" s="77"/>
      <c r="L130" s="77"/>
      <c r="M130" s="54"/>
      <c r="N130" s="54"/>
      <c r="O130" s="54"/>
      <c r="P130" s="54"/>
      <c r="Q130"/>
      <c r="R130"/>
    </row>
    <row r="131" spans="1:20" s="57" customFormat="1">
      <c r="A131" s="74" t="s">
        <v>1273</v>
      </c>
      <c r="B131" s="64">
        <f>-1*B117</f>
        <v>-100</v>
      </c>
      <c r="C131" s="74" t="s">
        <v>1367</v>
      </c>
      <c r="D131" s="64" t="s">
        <v>169</v>
      </c>
      <c r="E131" s="64" t="s">
        <v>38</v>
      </c>
      <c r="F131" s="64" t="s">
        <v>26</v>
      </c>
      <c r="G131" s="64" t="s">
        <v>1272</v>
      </c>
      <c r="H131" s="64"/>
      <c r="I131" s="64"/>
      <c r="J131" s="76"/>
      <c r="K131" s="77"/>
      <c r="L131" s="77"/>
      <c r="M131" s="54"/>
      <c r="N131" s="54"/>
      <c r="O131" s="54"/>
      <c r="P131" s="54"/>
      <c r="Q131"/>
      <c r="R131"/>
    </row>
    <row r="132" spans="1:20" s="57" customFormat="1">
      <c r="A132" s="64" t="s">
        <v>1393</v>
      </c>
      <c r="B132" s="64">
        <f>-1*B107</f>
        <v>-27</v>
      </c>
      <c r="C132" s="74" t="s">
        <v>1367</v>
      </c>
      <c r="D132" s="64" t="s">
        <v>169</v>
      </c>
      <c r="E132" s="64" t="s">
        <v>38</v>
      </c>
      <c r="F132" s="64" t="s">
        <v>26</v>
      </c>
      <c r="G132" s="64" t="s">
        <v>1394</v>
      </c>
      <c r="H132" s="64"/>
      <c r="I132" s="64"/>
      <c r="J132" s="76"/>
      <c r="K132" s="77"/>
      <c r="L132" s="77"/>
      <c r="M132" s="54"/>
      <c r="N132" s="54"/>
      <c r="O132" s="54"/>
      <c r="P132" s="54"/>
      <c r="Q132"/>
      <c r="R132"/>
    </row>
    <row r="133" spans="1:20" s="57" customFormat="1">
      <c r="A133" s="64" t="s">
        <v>1395</v>
      </c>
      <c r="B133" s="64">
        <f>-1*B115</f>
        <v>-4.5</v>
      </c>
      <c r="C133" s="74" t="s">
        <v>1367</v>
      </c>
      <c r="D133" s="64" t="s">
        <v>169</v>
      </c>
      <c r="E133" s="64" t="s">
        <v>38</v>
      </c>
      <c r="F133" s="64" t="s">
        <v>26</v>
      </c>
      <c r="G133" s="64" t="s">
        <v>1396</v>
      </c>
      <c r="H133" s="64"/>
      <c r="I133" s="64"/>
      <c r="J133" s="76"/>
      <c r="K133" s="77"/>
      <c r="L133" s="77"/>
      <c r="M133" s="54"/>
      <c r="N133" s="54"/>
      <c r="O133" s="54"/>
      <c r="P133" s="54"/>
      <c r="Q133"/>
      <c r="R133"/>
    </row>
    <row r="134" spans="1:20" s="57" customFormat="1">
      <c r="A134" s="64" t="s">
        <v>1333</v>
      </c>
      <c r="B134" s="64">
        <f>-1*B110</f>
        <v>-16</v>
      </c>
      <c r="C134" s="74" t="s">
        <v>1367</v>
      </c>
      <c r="D134" s="64" t="s">
        <v>194</v>
      </c>
      <c r="E134" s="64" t="s">
        <v>38</v>
      </c>
      <c r="F134" s="64" t="s">
        <v>26</v>
      </c>
      <c r="G134" s="64" t="s">
        <v>620</v>
      </c>
      <c r="H134" s="64"/>
      <c r="I134" s="64"/>
      <c r="J134" s="76"/>
      <c r="K134" s="77"/>
      <c r="L134" s="77"/>
      <c r="M134" s="54"/>
      <c r="N134" s="54"/>
      <c r="O134" s="54"/>
      <c r="P134" s="54"/>
      <c r="Q134"/>
      <c r="R134"/>
    </row>
    <row r="135" spans="1:20" s="57" customFormat="1">
      <c r="A135" s="64" t="s">
        <v>1334</v>
      </c>
      <c r="B135" s="64">
        <f>-1*B119</f>
        <v>-4.8</v>
      </c>
      <c r="C135" s="74" t="s">
        <v>1367</v>
      </c>
      <c r="D135" s="64" t="s">
        <v>169</v>
      </c>
      <c r="E135" s="64" t="s">
        <v>38</v>
      </c>
      <c r="F135" s="64" t="s">
        <v>26</v>
      </c>
      <c r="G135" s="64" t="s">
        <v>1335</v>
      </c>
      <c r="H135" s="64"/>
      <c r="I135" s="64"/>
      <c r="J135" s="83"/>
      <c r="K135" s="70"/>
      <c r="L135" s="70"/>
      <c r="M135" s="62"/>
      <c r="N135" s="62"/>
      <c r="O135" s="62"/>
      <c r="P135" s="62"/>
    </row>
    <row r="136" spans="1:20" s="57" customFormat="1">
      <c r="A136" s="83"/>
      <c r="B136" s="85"/>
      <c r="C136" s="85"/>
      <c r="D136" s="83"/>
      <c r="E136" s="83"/>
      <c r="F136" s="83"/>
      <c r="G136" s="83"/>
      <c r="H136" s="83"/>
      <c r="I136" s="83"/>
      <c r="J136" s="64"/>
      <c r="K136" s="86"/>
      <c r="L136" s="87"/>
      <c r="M136" s="62"/>
      <c r="N136" s="62"/>
      <c r="O136" s="62"/>
      <c r="P136" s="62"/>
    </row>
    <row r="137" spans="1:20" s="57" customFormat="1">
      <c r="A137" s="67" t="s">
        <v>0</v>
      </c>
      <c r="B137" s="68" t="s">
        <v>1398</v>
      </c>
      <c r="C137" s="68"/>
      <c r="D137" s="64"/>
      <c r="E137" s="64"/>
      <c r="F137" s="64"/>
      <c r="G137" s="64"/>
      <c r="H137" s="64"/>
      <c r="I137" s="64"/>
      <c r="J137" s="64"/>
      <c r="K137" s="88"/>
      <c r="L137" s="87"/>
      <c r="M137" s="62"/>
      <c r="N137" s="62"/>
      <c r="O137" s="62"/>
      <c r="P137" s="62"/>
    </row>
    <row r="138" spans="1:20" s="57" customFormat="1">
      <c r="A138" s="71" t="s">
        <v>2</v>
      </c>
      <c r="B138" s="72">
        <v>1</v>
      </c>
      <c r="C138" s="72"/>
      <c r="D138" s="64"/>
      <c r="E138" s="64"/>
      <c r="F138" s="64"/>
      <c r="G138" s="64"/>
      <c r="H138" s="64"/>
      <c r="I138" s="64"/>
      <c r="J138" s="64"/>
      <c r="K138" s="70"/>
      <c r="L138" s="87"/>
      <c r="M138" s="62"/>
      <c r="N138" s="62"/>
      <c r="O138" s="62"/>
      <c r="P138" s="62"/>
    </row>
    <row r="139" spans="1:20" s="57" customFormat="1">
      <c r="A139" s="71" t="s">
        <v>13</v>
      </c>
      <c r="B139" s="72" t="s">
        <v>1388</v>
      </c>
      <c r="C139" s="72"/>
      <c r="D139" s="64"/>
      <c r="E139" s="64"/>
      <c r="F139" s="64"/>
      <c r="G139" s="64"/>
      <c r="H139" s="64"/>
      <c r="I139" s="64"/>
      <c r="J139" s="64"/>
      <c r="K139" s="70"/>
      <c r="L139" s="70"/>
      <c r="M139" s="62"/>
      <c r="N139" s="62"/>
      <c r="O139" s="62"/>
      <c r="P139" s="62"/>
    </row>
    <row r="140" spans="1:20" s="57" customFormat="1" ht="16.399999999999999" customHeight="1">
      <c r="A140" s="71" t="s">
        <v>3</v>
      </c>
      <c r="B140" s="74" t="s">
        <v>1398</v>
      </c>
      <c r="C140" s="74"/>
      <c r="D140" s="64"/>
      <c r="E140" s="64"/>
      <c r="F140" s="64"/>
      <c r="G140" s="64"/>
      <c r="H140" s="64"/>
      <c r="I140" s="64"/>
      <c r="J140" s="64"/>
      <c r="K140" s="70"/>
      <c r="L140" s="70"/>
      <c r="M140" s="62"/>
      <c r="N140" s="62"/>
      <c r="O140" s="62"/>
      <c r="P140" s="62"/>
    </row>
    <row r="141" spans="1:20" s="57" customFormat="1">
      <c r="A141" s="71" t="s">
        <v>1</v>
      </c>
      <c r="B141" s="72" t="s">
        <v>20</v>
      </c>
      <c r="C141" s="72"/>
      <c r="D141" s="64"/>
      <c r="E141" s="64"/>
      <c r="F141" s="64"/>
      <c r="G141" s="64"/>
      <c r="H141" s="64"/>
      <c r="I141" s="64"/>
      <c r="J141" s="64"/>
      <c r="K141" s="70"/>
      <c r="L141" s="70"/>
      <c r="M141" s="62"/>
      <c r="N141" s="62"/>
      <c r="O141" s="62"/>
      <c r="P141" s="62"/>
    </row>
    <row r="142" spans="1:20" s="57" customFormat="1">
      <c r="A142" s="71" t="s">
        <v>7</v>
      </c>
      <c r="B142" s="74" t="s">
        <v>7</v>
      </c>
      <c r="C142" s="74"/>
      <c r="D142" s="64"/>
      <c r="E142" s="64"/>
      <c r="F142" s="64"/>
      <c r="G142" s="64"/>
      <c r="H142" s="64"/>
      <c r="I142" s="75"/>
      <c r="J142" s="64"/>
      <c r="K142" s="70"/>
      <c r="L142" s="70"/>
      <c r="M142" s="62"/>
      <c r="N142" s="62"/>
      <c r="O142" s="62"/>
      <c r="P142" s="62"/>
    </row>
    <row r="143" spans="1:20" s="57" customFormat="1">
      <c r="A143" s="75" t="s">
        <v>14</v>
      </c>
      <c r="B143" s="68"/>
      <c r="C143" s="68"/>
      <c r="D143" s="75"/>
      <c r="E143" s="75"/>
      <c r="F143" s="75"/>
      <c r="G143" s="75"/>
      <c r="H143" s="75"/>
      <c r="I143" s="69"/>
      <c r="J143" s="1"/>
      <c r="K143" s="63"/>
      <c r="L143" s="63"/>
      <c r="M143" s="63"/>
      <c r="N143" s="63"/>
      <c r="O143" s="63"/>
      <c r="P143" s="63"/>
      <c r="Q143" s="1"/>
      <c r="R143" s="1"/>
      <c r="S143" s="45"/>
      <c r="T143" s="1"/>
    </row>
    <row r="144" spans="1:20" s="57" customFormat="1">
      <c r="A144" s="75" t="s">
        <v>15</v>
      </c>
      <c r="B144" s="68" t="s">
        <v>16</v>
      </c>
      <c r="C144" s="68" t="s">
        <v>17</v>
      </c>
      <c r="D144" s="75" t="s">
        <v>1</v>
      </c>
      <c r="E144" s="75" t="s">
        <v>7</v>
      </c>
      <c r="F144" s="75" t="s">
        <v>5</v>
      </c>
      <c r="G144" s="75" t="s">
        <v>3</v>
      </c>
      <c r="H144" s="84" t="s">
        <v>18</v>
      </c>
      <c r="I144" s="84" t="s">
        <v>13</v>
      </c>
      <c r="J144" s="64"/>
      <c r="K144" s="70"/>
      <c r="L144" s="70"/>
      <c r="M144" s="62"/>
      <c r="N144" s="62"/>
      <c r="O144" s="62"/>
      <c r="P144" s="65"/>
    </row>
    <row r="145" spans="1:18" s="57" customFormat="1">
      <c r="A145" s="74" t="str">
        <f>B137</f>
        <v>electrolyzer, PEM, Balance of Plant</v>
      </c>
      <c r="B145" s="74">
        <v>1</v>
      </c>
      <c r="C145" s="74" t="s">
        <v>1413</v>
      </c>
      <c r="D145" s="64" t="s">
        <v>20</v>
      </c>
      <c r="E145" s="64" t="s">
        <v>7</v>
      </c>
      <c r="F145" s="64" t="s">
        <v>24</v>
      </c>
      <c r="G145" s="74" t="str">
        <f>B140</f>
        <v>electrolyzer, PEM, Balance of Plant</v>
      </c>
      <c r="H145" s="64"/>
      <c r="I145" s="69"/>
      <c r="J145" s="76"/>
      <c r="K145" s="77"/>
      <c r="L145" s="77"/>
      <c r="M145" s="54"/>
      <c r="N145" s="54"/>
      <c r="O145" s="54"/>
      <c r="P145" s="54"/>
      <c r="Q145"/>
      <c r="R145"/>
    </row>
    <row r="146" spans="1:18" s="57" customFormat="1">
      <c r="A146" s="64" t="s">
        <v>44</v>
      </c>
      <c r="B146" s="74">
        <v>100</v>
      </c>
      <c r="C146" s="74" t="s">
        <v>1367</v>
      </c>
      <c r="D146" s="64" t="s">
        <v>34</v>
      </c>
      <c r="E146" s="64" t="s">
        <v>38</v>
      </c>
      <c r="F146" s="64" t="s">
        <v>26</v>
      </c>
      <c r="G146" s="64" t="s">
        <v>45</v>
      </c>
      <c r="H146" s="64"/>
      <c r="I146" s="89" t="s">
        <v>1336</v>
      </c>
      <c r="J146" s="76"/>
      <c r="K146" s="77"/>
      <c r="L146" s="77"/>
      <c r="M146" s="54"/>
      <c r="N146" s="54"/>
      <c r="O146" s="54"/>
      <c r="P146" s="54"/>
      <c r="Q146"/>
      <c r="R146"/>
    </row>
    <row r="147" spans="1:18" s="57" customFormat="1">
      <c r="A147" s="64" t="s">
        <v>67</v>
      </c>
      <c r="B147" s="74">
        <v>200</v>
      </c>
      <c r="C147" s="74" t="s">
        <v>1367</v>
      </c>
      <c r="D147" s="64" t="s">
        <v>34</v>
      </c>
      <c r="E147" s="64" t="s">
        <v>38</v>
      </c>
      <c r="F147" s="64" t="s">
        <v>26</v>
      </c>
      <c r="G147" s="64" t="s">
        <v>68</v>
      </c>
      <c r="H147" s="64"/>
      <c r="I147" s="89" t="s">
        <v>1336</v>
      </c>
      <c r="J147" s="76"/>
      <c r="K147" s="77"/>
      <c r="L147" s="77"/>
      <c r="M147" s="54"/>
      <c r="N147" s="54"/>
      <c r="O147" s="54"/>
      <c r="P147" s="54"/>
      <c r="Q147"/>
      <c r="R147"/>
    </row>
    <row r="148" spans="1:18" s="57" customFormat="1">
      <c r="A148" s="64" t="s">
        <v>293</v>
      </c>
      <c r="B148" s="74">
        <v>600</v>
      </c>
      <c r="C148" s="74" t="s">
        <v>1367</v>
      </c>
      <c r="D148" s="64" t="s">
        <v>34</v>
      </c>
      <c r="E148" s="64" t="s">
        <v>38</v>
      </c>
      <c r="F148" s="64" t="s">
        <v>26</v>
      </c>
      <c r="G148" s="64" t="s">
        <v>189</v>
      </c>
      <c r="H148" s="64"/>
      <c r="I148" s="89" t="s">
        <v>1336</v>
      </c>
      <c r="J148" s="76"/>
      <c r="K148" s="77"/>
      <c r="L148" s="77"/>
      <c r="M148" s="54"/>
      <c r="N148" s="54"/>
      <c r="O148" s="54"/>
      <c r="P148" s="54"/>
      <c r="Q148"/>
      <c r="R148"/>
    </row>
    <row r="149" spans="1:18" s="57" customFormat="1">
      <c r="A149" s="64" t="s">
        <v>1018</v>
      </c>
      <c r="B149" s="74">
        <v>100</v>
      </c>
      <c r="C149" s="74" t="s">
        <v>1367</v>
      </c>
      <c r="D149" s="64" t="s">
        <v>34</v>
      </c>
      <c r="E149" s="64" t="s">
        <v>38</v>
      </c>
      <c r="F149" s="64" t="s">
        <v>26</v>
      </c>
      <c r="G149" s="64" t="s">
        <v>190</v>
      </c>
      <c r="H149" s="64"/>
      <c r="I149" s="89" t="s">
        <v>1336</v>
      </c>
      <c r="J149" s="76"/>
      <c r="K149" s="77"/>
      <c r="L149" s="77"/>
      <c r="M149" s="54"/>
      <c r="N149" s="54"/>
      <c r="O149" s="54"/>
      <c r="P149" s="54"/>
      <c r="Q149"/>
      <c r="R149"/>
    </row>
    <row r="150" spans="1:18" s="57" customFormat="1">
      <c r="A150" s="64" t="s">
        <v>1023</v>
      </c>
      <c r="B150" s="74">
        <v>600</v>
      </c>
      <c r="C150" s="74" t="s">
        <v>1367</v>
      </c>
      <c r="D150" s="64" t="s">
        <v>34</v>
      </c>
      <c r="E150" s="64" t="s">
        <v>38</v>
      </c>
      <c r="F150" s="64" t="s">
        <v>26</v>
      </c>
      <c r="G150" s="64" t="s">
        <v>191</v>
      </c>
      <c r="H150" s="64"/>
      <c r="I150" s="89" t="s">
        <v>1336</v>
      </c>
      <c r="J150" s="76"/>
      <c r="K150" s="77"/>
      <c r="L150" s="77"/>
      <c r="M150" s="54"/>
      <c r="N150" s="54"/>
      <c r="O150" s="54"/>
      <c r="P150" s="54"/>
      <c r="Q150"/>
      <c r="R150"/>
    </row>
    <row r="151" spans="1:18" s="57" customFormat="1">
      <c r="A151" s="64" t="s">
        <v>1024</v>
      </c>
      <c r="B151" s="74">
        <v>100</v>
      </c>
      <c r="C151" s="74" t="s">
        <v>1367</v>
      </c>
      <c r="D151" s="64" t="s">
        <v>34</v>
      </c>
      <c r="E151" s="64" t="s">
        <v>38</v>
      </c>
      <c r="F151" s="64" t="s">
        <v>26</v>
      </c>
      <c r="G151" s="64" t="s">
        <v>192</v>
      </c>
      <c r="H151" s="64"/>
      <c r="I151" s="89" t="s">
        <v>1336</v>
      </c>
      <c r="J151" s="76"/>
      <c r="K151" s="77"/>
      <c r="L151" s="77"/>
      <c r="M151" s="54"/>
      <c r="N151" s="54"/>
      <c r="O151" s="54"/>
      <c r="P151" s="54"/>
      <c r="Q151"/>
      <c r="R151"/>
    </row>
    <row r="152" spans="1:18" s="57" customFormat="1">
      <c r="A152" s="64" t="s">
        <v>1025</v>
      </c>
      <c r="B152" s="74">
        <v>200</v>
      </c>
      <c r="C152" s="74" t="s">
        <v>1367</v>
      </c>
      <c r="D152" s="64" t="s">
        <v>34</v>
      </c>
      <c r="E152" s="64" t="s">
        <v>38</v>
      </c>
      <c r="F152" s="64" t="s">
        <v>26</v>
      </c>
      <c r="G152" s="64" t="s">
        <v>193</v>
      </c>
      <c r="H152" s="64"/>
      <c r="I152" s="89" t="s">
        <v>1336</v>
      </c>
      <c r="J152" s="76"/>
      <c r="K152" s="77"/>
      <c r="L152" s="77"/>
      <c r="M152" s="54"/>
      <c r="N152" s="54"/>
      <c r="O152" s="54"/>
      <c r="P152" s="54"/>
      <c r="Q152"/>
      <c r="R152"/>
    </row>
    <row r="153" spans="1:18" s="57" customFormat="1">
      <c r="A153" s="64" t="s">
        <v>181</v>
      </c>
      <c r="B153" s="74">
        <v>100</v>
      </c>
      <c r="C153" s="74" t="s">
        <v>1367</v>
      </c>
      <c r="D153" s="64" t="s">
        <v>34</v>
      </c>
      <c r="E153" s="64" t="s">
        <v>38</v>
      </c>
      <c r="F153" s="64" t="s">
        <v>26</v>
      </c>
      <c r="G153" s="64" t="s">
        <v>182</v>
      </c>
      <c r="H153" s="64"/>
      <c r="I153" s="69" t="s">
        <v>1337</v>
      </c>
      <c r="J153" s="76"/>
      <c r="K153" s="77"/>
      <c r="L153" s="77"/>
      <c r="M153" s="54"/>
      <c r="N153" s="54"/>
      <c r="O153" s="54"/>
      <c r="P153" s="54"/>
      <c r="Q153"/>
      <c r="R153"/>
    </row>
    <row r="154" spans="1:18" s="57" customFormat="1">
      <c r="A154" s="64" t="s">
        <v>39</v>
      </c>
      <c r="B154" s="74">
        <v>900</v>
      </c>
      <c r="C154" s="74" t="s">
        <v>1367</v>
      </c>
      <c r="D154" s="64" t="s">
        <v>34</v>
      </c>
      <c r="E154" s="64" t="s">
        <v>38</v>
      </c>
      <c r="F154" s="64" t="s">
        <v>26</v>
      </c>
      <c r="G154" s="64" t="s">
        <v>40</v>
      </c>
      <c r="H154" s="64"/>
      <c r="I154" s="69" t="s">
        <v>1338</v>
      </c>
      <c r="J154" s="76"/>
      <c r="K154" s="77"/>
      <c r="L154" s="77"/>
      <c r="M154" s="54"/>
      <c r="N154" s="54"/>
      <c r="O154" s="54"/>
      <c r="P154" s="54"/>
      <c r="Q154"/>
      <c r="R154"/>
    </row>
    <row r="155" spans="1:18" s="57" customFormat="1">
      <c r="A155" s="64" t="s">
        <v>1023</v>
      </c>
      <c r="B155" s="74">
        <v>900</v>
      </c>
      <c r="C155" s="74" t="s">
        <v>1367</v>
      </c>
      <c r="D155" s="64" t="s">
        <v>34</v>
      </c>
      <c r="E155" s="64" t="s">
        <v>38</v>
      </c>
      <c r="F155" s="64" t="s">
        <v>26</v>
      </c>
      <c r="G155" s="64" t="s">
        <v>191</v>
      </c>
      <c r="H155" s="64"/>
      <c r="I155" s="69" t="s">
        <v>1338</v>
      </c>
      <c r="J155" s="76"/>
      <c r="K155" s="77"/>
      <c r="L155" s="77"/>
      <c r="M155" s="54"/>
      <c r="N155" s="54"/>
      <c r="O155" s="54"/>
      <c r="P155" s="54"/>
      <c r="Q155"/>
      <c r="R155"/>
    </row>
    <row r="156" spans="1:18" s="57" customFormat="1">
      <c r="A156" s="64" t="s">
        <v>1021</v>
      </c>
      <c r="B156" s="74">
        <v>750</v>
      </c>
      <c r="C156" s="74" t="s">
        <v>1367</v>
      </c>
      <c r="D156" s="64" t="s">
        <v>34</v>
      </c>
      <c r="E156" s="64" t="s">
        <v>38</v>
      </c>
      <c r="F156" s="64" t="s">
        <v>26</v>
      </c>
      <c r="G156" s="64" t="s">
        <v>1022</v>
      </c>
      <c r="H156" s="64"/>
      <c r="I156" s="69" t="s">
        <v>1339</v>
      </c>
      <c r="J156" s="76"/>
      <c r="K156" s="77"/>
      <c r="L156" s="77"/>
      <c r="M156" s="54"/>
      <c r="N156" s="54"/>
      <c r="O156" s="54"/>
      <c r="P156" s="54"/>
      <c r="Q156"/>
      <c r="R156"/>
    </row>
    <row r="157" spans="1:18" s="57" customFormat="1">
      <c r="A157" s="64" t="s">
        <v>71</v>
      </c>
      <c r="B157" s="74">
        <v>750</v>
      </c>
      <c r="C157" s="74" t="s">
        <v>1367</v>
      </c>
      <c r="D157" s="64" t="s">
        <v>34</v>
      </c>
      <c r="E157" s="64" t="s">
        <v>38</v>
      </c>
      <c r="F157" s="64" t="s">
        <v>26</v>
      </c>
      <c r="G157" s="64" t="s">
        <v>72</v>
      </c>
      <c r="H157" s="64"/>
      <c r="I157" s="69" t="s">
        <v>1339</v>
      </c>
      <c r="J157" s="76"/>
      <c r="K157" s="77"/>
      <c r="L157" s="77"/>
      <c r="M157" s="54"/>
      <c r="N157" s="54"/>
      <c r="O157" s="54"/>
      <c r="P157" s="54"/>
      <c r="Q157"/>
      <c r="R157"/>
    </row>
    <row r="158" spans="1:18" s="57" customFormat="1">
      <c r="A158" s="64" t="s">
        <v>44</v>
      </c>
      <c r="B158" s="74">
        <v>100</v>
      </c>
      <c r="C158" s="74" t="s">
        <v>1367</v>
      </c>
      <c r="D158" s="64" t="s">
        <v>34</v>
      </c>
      <c r="E158" s="64" t="s">
        <v>38</v>
      </c>
      <c r="F158" s="64" t="s">
        <v>26</v>
      </c>
      <c r="G158" s="64" t="s">
        <v>45</v>
      </c>
      <c r="H158" s="64"/>
      <c r="I158" s="69" t="s">
        <v>1340</v>
      </c>
      <c r="J158" s="76"/>
      <c r="K158" s="77"/>
      <c r="L158" s="77"/>
      <c r="M158" s="54"/>
      <c r="N158" s="54"/>
      <c r="O158" s="54"/>
      <c r="P158" s="54"/>
      <c r="Q158"/>
      <c r="R158"/>
    </row>
    <row r="159" spans="1:18" s="57" customFormat="1">
      <c r="A159" s="64" t="s">
        <v>1018</v>
      </c>
      <c r="B159" s="74">
        <v>100</v>
      </c>
      <c r="C159" s="74" t="s">
        <v>1367</v>
      </c>
      <c r="D159" s="64" t="s">
        <v>34</v>
      </c>
      <c r="E159" s="64" t="s">
        <v>38</v>
      </c>
      <c r="F159" s="64" t="s">
        <v>26</v>
      </c>
      <c r="G159" s="64" t="s">
        <v>190</v>
      </c>
      <c r="H159" s="64"/>
      <c r="I159" s="69" t="s">
        <v>1340</v>
      </c>
      <c r="J159" s="76"/>
      <c r="K159" s="77"/>
      <c r="L159" s="77"/>
      <c r="M159" s="54"/>
      <c r="N159" s="54"/>
      <c r="O159" s="54"/>
      <c r="P159" s="54"/>
      <c r="Q159"/>
      <c r="R159"/>
    </row>
    <row r="160" spans="1:18" s="57" customFormat="1">
      <c r="A160" s="64" t="s">
        <v>67</v>
      </c>
      <c r="B160" s="74">
        <v>100</v>
      </c>
      <c r="C160" s="74" t="s">
        <v>1367</v>
      </c>
      <c r="D160" s="64" t="s">
        <v>34</v>
      </c>
      <c r="E160" s="64" t="s">
        <v>38</v>
      </c>
      <c r="F160" s="64" t="s">
        <v>26</v>
      </c>
      <c r="G160" s="64" t="s">
        <v>68</v>
      </c>
      <c r="H160" s="64"/>
      <c r="I160" s="69" t="s">
        <v>1341</v>
      </c>
      <c r="J160" s="76"/>
      <c r="K160" s="77"/>
      <c r="L160" s="77"/>
      <c r="M160" s="54"/>
      <c r="N160" s="54"/>
      <c r="O160" s="54"/>
      <c r="P160" s="54"/>
      <c r="Q160"/>
      <c r="R160"/>
    </row>
    <row r="161" spans="1:18" s="57" customFormat="1">
      <c r="A161" s="64" t="s">
        <v>1019</v>
      </c>
      <c r="B161" s="74">
        <v>100</v>
      </c>
      <c r="C161" s="74" t="s">
        <v>1367</v>
      </c>
      <c r="D161" s="64" t="s">
        <v>34</v>
      </c>
      <c r="E161" s="64" t="s">
        <v>38</v>
      </c>
      <c r="F161" s="64" t="s">
        <v>26</v>
      </c>
      <c r="G161" s="64" t="s">
        <v>1020</v>
      </c>
      <c r="H161" s="64"/>
      <c r="I161" s="69" t="s">
        <v>1341</v>
      </c>
      <c r="J161" s="76"/>
      <c r="K161" s="77"/>
      <c r="L161" s="77"/>
      <c r="M161" s="54"/>
      <c r="N161" s="54"/>
      <c r="O161" s="54"/>
      <c r="P161" s="54"/>
      <c r="Q161"/>
      <c r="R161"/>
    </row>
    <row r="162" spans="1:18" s="57" customFormat="1">
      <c r="A162" s="64" t="s">
        <v>80</v>
      </c>
      <c r="B162" s="74">
        <v>300</v>
      </c>
      <c r="C162" s="74" t="s">
        <v>1367</v>
      </c>
      <c r="D162" s="64" t="s">
        <v>34</v>
      </c>
      <c r="E162" s="64" t="s">
        <v>38</v>
      </c>
      <c r="F162" s="64" t="s">
        <v>26</v>
      </c>
      <c r="G162" s="64" t="s">
        <v>81</v>
      </c>
      <c r="H162" s="64"/>
      <c r="I162" s="69" t="s">
        <v>1342</v>
      </c>
      <c r="J162" s="76"/>
      <c r="K162" s="77"/>
      <c r="L162" s="77"/>
      <c r="M162" s="54"/>
      <c r="N162" s="54"/>
      <c r="O162" s="54"/>
      <c r="P162" s="54"/>
      <c r="Q162"/>
      <c r="R162"/>
    </row>
    <row r="163" spans="1:18" s="57" customFormat="1">
      <c r="A163" s="64" t="s">
        <v>1026</v>
      </c>
      <c r="B163" s="74">
        <v>300</v>
      </c>
      <c r="C163" s="74" t="s">
        <v>1367</v>
      </c>
      <c r="D163" s="64" t="s">
        <v>34</v>
      </c>
      <c r="E163" s="64" t="s">
        <v>38</v>
      </c>
      <c r="F163" s="64" t="s">
        <v>26</v>
      </c>
      <c r="G163" s="64" t="s">
        <v>1027</v>
      </c>
      <c r="H163" s="64"/>
      <c r="I163" s="69" t="s">
        <v>1342</v>
      </c>
      <c r="J163" s="76"/>
      <c r="K163" s="77"/>
      <c r="L163" s="77"/>
      <c r="M163" s="54"/>
      <c r="N163" s="54"/>
      <c r="O163" s="54"/>
      <c r="P163" s="54"/>
      <c r="Q163"/>
      <c r="R163"/>
    </row>
    <row r="164" spans="1:18" s="57" customFormat="1">
      <c r="A164" s="64" t="s">
        <v>275</v>
      </c>
      <c r="B164" s="74">
        <v>100</v>
      </c>
      <c r="C164" s="74" t="s">
        <v>1367</v>
      </c>
      <c r="D164" s="64" t="s">
        <v>20</v>
      </c>
      <c r="E164" s="64" t="s">
        <v>38</v>
      </c>
      <c r="F164" s="64" t="s">
        <v>26</v>
      </c>
      <c r="G164" s="64" t="s">
        <v>276</v>
      </c>
      <c r="H164" s="64"/>
      <c r="I164" s="69" t="s">
        <v>1343</v>
      </c>
      <c r="J164" s="76"/>
      <c r="K164" s="77"/>
      <c r="L164" s="77"/>
      <c r="M164" s="54"/>
      <c r="N164" s="54"/>
      <c r="O164" s="54"/>
      <c r="P164" s="54"/>
      <c r="Q164"/>
      <c r="R164"/>
    </row>
    <row r="165" spans="1:18" s="57" customFormat="1">
      <c r="A165" s="64" t="s">
        <v>1028</v>
      </c>
      <c r="B165" s="74">
        <v>100</v>
      </c>
      <c r="C165" s="74" t="s">
        <v>1367</v>
      </c>
      <c r="D165" s="64" t="s">
        <v>34</v>
      </c>
      <c r="E165" s="64" t="s">
        <v>38</v>
      </c>
      <c r="F165" s="64" t="s">
        <v>26</v>
      </c>
      <c r="G165" s="64" t="s">
        <v>1029</v>
      </c>
      <c r="H165" s="64"/>
      <c r="I165" s="69" t="s">
        <v>1344</v>
      </c>
      <c r="J165" s="76"/>
      <c r="K165" s="77"/>
      <c r="L165" s="77"/>
      <c r="M165" s="54"/>
      <c r="N165" s="54"/>
      <c r="O165" s="54"/>
      <c r="P165" s="54"/>
      <c r="Q165"/>
      <c r="R165"/>
    </row>
    <row r="166" spans="1:18" s="57" customFormat="1">
      <c r="A166" s="64" t="s">
        <v>1021</v>
      </c>
      <c r="B166" s="74">
        <v>1161</v>
      </c>
      <c r="C166" s="74" t="s">
        <v>1367</v>
      </c>
      <c r="D166" s="64" t="s">
        <v>34</v>
      </c>
      <c r="E166" s="64" t="s">
        <v>38</v>
      </c>
      <c r="F166" s="64" t="s">
        <v>26</v>
      </c>
      <c r="G166" s="64" t="s">
        <v>1022</v>
      </c>
      <c r="H166" s="64"/>
      <c r="I166" s="69" t="s">
        <v>1345</v>
      </c>
      <c r="J166" s="76"/>
      <c r="K166" s="77"/>
      <c r="L166" s="77"/>
      <c r="M166" s="54"/>
      <c r="N166" s="54"/>
      <c r="O166" s="54"/>
      <c r="P166" s="54"/>
      <c r="Q166"/>
      <c r="R166"/>
    </row>
    <row r="167" spans="1:18" s="57" customFormat="1">
      <c r="A167" s="64" t="s">
        <v>71</v>
      </c>
      <c r="B167" s="74">
        <v>1161</v>
      </c>
      <c r="C167" s="74" t="s">
        <v>1367</v>
      </c>
      <c r="D167" s="64" t="s">
        <v>34</v>
      </c>
      <c r="E167" s="64" t="s">
        <v>38</v>
      </c>
      <c r="F167" s="64" t="s">
        <v>26</v>
      </c>
      <c r="G167" s="64" t="s">
        <v>72</v>
      </c>
      <c r="H167" s="64"/>
      <c r="I167" s="69" t="s">
        <v>1345</v>
      </c>
      <c r="J167" s="76"/>
      <c r="K167" s="77"/>
      <c r="L167" s="77"/>
      <c r="M167" s="54"/>
      <c r="N167" s="54"/>
      <c r="O167" s="54"/>
      <c r="P167" s="54"/>
      <c r="Q167"/>
      <c r="R167"/>
    </row>
    <row r="168" spans="1:18" s="57" customFormat="1">
      <c r="A168" s="64" t="s">
        <v>148</v>
      </c>
      <c r="B168" s="74">
        <v>464.6</v>
      </c>
      <c r="C168" s="74" t="s">
        <v>1367</v>
      </c>
      <c r="D168" s="64" t="s">
        <v>34</v>
      </c>
      <c r="E168" s="64" t="s">
        <v>38</v>
      </c>
      <c r="F168" s="64" t="s">
        <v>26</v>
      </c>
      <c r="G168" s="64" t="s">
        <v>149</v>
      </c>
      <c r="H168" s="64"/>
      <c r="I168" s="69" t="s">
        <v>1346</v>
      </c>
      <c r="J168" s="76"/>
      <c r="K168" s="77"/>
      <c r="L168" s="77"/>
      <c r="M168" s="54"/>
      <c r="N168" s="54"/>
      <c r="O168" s="54"/>
      <c r="P168" s="54"/>
      <c r="Q168"/>
      <c r="R168"/>
    </row>
    <row r="169" spans="1:18" s="57" customFormat="1">
      <c r="A169" s="64" t="s">
        <v>1030</v>
      </c>
      <c r="B169" s="74">
        <v>464.6</v>
      </c>
      <c r="C169" s="74" t="s">
        <v>1367</v>
      </c>
      <c r="D169" s="64" t="s">
        <v>34</v>
      </c>
      <c r="E169" s="64" t="s">
        <v>38</v>
      </c>
      <c r="F169" s="64" t="s">
        <v>26</v>
      </c>
      <c r="G169" s="64" t="s">
        <v>1031</v>
      </c>
      <c r="H169" s="64"/>
      <c r="I169" s="69" t="s">
        <v>1346</v>
      </c>
      <c r="J169" s="76"/>
      <c r="K169" s="77"/>
      <c r="L169" s="77"/>
      <c r="M169" s="54"/>
      <c r="N169" s="54"/>
      <c r="O169" s="54"/>
      <c r="P169" s="54"/>
      <c r="Q169"/>
      <c r="R169"/>
    </row>
    <row r="170" spans="1:18" s="57" customFormat="1">
      <c r="A170" s="64" t="s">
        <v>293</v>
      </c>
      <c r="B170" s="74">
        <v>232.3</v>
      </c>
      <c r="C170" s="74" t="s">
        <v>1367</v>
      </c>
      <c r="D170" s="64" t="s">
        <v>34</v>
      </c>
      <c r="E170" s="64" t="s">
        <v>38</v>
      </c>
      <c r="F170" s="64" t="s">
        <v>26</v>
      </c>
      <c r="G170" s="64" t="s">
        <v>189</v>
      </c>
      <c r="H170" s="64"/>
      <c r="I170" s="69" t="s">
        <v>1346</v>
      </c>
      <c r="J170" s="76"/>
      <c r="K170" s="77"/>
      <c r="L170" s="77"/>
      <c r="M170" s="54"/>
      <c r="N170" s="54"/>
      <c r="O170" s="54"/>
      <c r="P170" s="54"/>
      <c r="Q170"/>
      <c r="R170"/>
    </row>
    <row r="171" spans="1:18" s="57" customFormat="1">
      <c r="A171" s="64" t="s">
        <v>1023</v>
      </c>
      <c r="B171" s="74">
        <v>232.3</v>
      </c>
      <c r="C171" s="74" t="s">
        <v>1367</v>
      </c>
      <c r="D171" s="64" t="s">
        <v>34</v>
      </c>
      <c r="E171" s="64" t="s">
        <v>38</v>
      </c>
      <c r="F171" s="64" t="s">
        <v>26</v>
      </c>
      <c r="G171" s="64" t="s">
        <v>191</v>
      </c>
      <c r="H171" s="64"/>
      <c r="I171" s="69" t="s">
        <v>1346</v>
      </c>
      <c r="J171" s="76"/>
      <c r="K171" s="77"/>
      <c r="L171" s="77"/>
      <c r="M171" s="54"/>
      <c r="N171" s="54"/>
      <c r="O171" s="54"/>
      <c r="P171" s="54"/>
      <c r="Q171"/>
      <c r="R171"/>
    </row>
    <row r="172" spans="1:18" s="57" customFormat="1">
      <c r="A172" s="64" t="s">
        <v>44</v>
      </c>
      <c r="B172" s="74">
        <v>60</v>
      </c>
      <c r="C172" s="74" t="s">
        <v>1367</v>
      </c>
      <c r="D172" s="64" t="s">
        <v>34</v>
      </c>
      <c r="E172" s="64" t="s">
        <v>38</v>
      </c>
      <c r="F172" s="64" t="s">
        <v>26</v>
      </c>
      <c r="G172" s="64" t="s">
        <v>45</v>
      </c>
      <c r="H172" s="64"/>
      <c r="I172" s="69" t="s">
        <v>1347</v>
      </c>
      <c r="J172" s="76"/>
      <c r="K172" s="77"/>
      <c r="L172" s="77"/>
      <c r="M172" s="54"/>
      <c r="N172" s="54"/>
      <c r="O172" s="54"/>
      <c r="P172" s="54"/>
      <c r="Q172"/>
      <c r="R172"/>
    </row>
    <row r="173" spans="1:18" s="57" customFormat="1">
      <c r="A173" s="64" t="s">
        <v>67</v>
      </c>
      <c r="B173" s="74">
        <v>45</v>
      </c>
      <c r="C173" s="74" t="s">
        <v>1367</v>
      </c>
      <c r="D173" s="64" t="s">
        <v>34</v>
      </c>
      <c r="E173" s="64" t="s">
        <v>38</v>
      </c>
      <c r="F173" s="64" t="s">
        <v>26</v>
      </c>
      <c r="G173" s="64" t="s">
        <v>68</v>
      </c>
      <c r="H173" s="64"/>
      <c r="I173" s="69" t="s">
        <v>1347</v>
      </c>
      <c r="J173" s="76"/>
      <c r="K173" s="77"/>
      <c r="L173" s="77"/>
      <c r="M173" s="54"/>
      <c r="N173" s="54"/>
      <c r="O173" s="54"/>
      <c r="P173" s="54"/>
      <c r="Q173"/>
      <c r="R173"/>
    </row>
    <row r="174" spans="1:18" s="57" customFormat="1">
      <c r="A174" s="64" t="s">
        <v>293</v>
      </c>
      <c r="B174" s="74">
        <v>180</v>
      </c>
      <c r="C174" s="74" t="s">
        <v>1367</v>
      </c>
      <c r="D174" s="64" t="s">
        <v>34</v>
      </c>
      <c r="E174" s="64" t="s">
        <v>38</v>
      </c>
      <c r="F174" s="64" t="s">
        <v>26</v>
      </c>
      <c r="G174" s="64" t="s">
        <v>189</v>
      </c>
      <c r="H174" s="64"/>
      <c r="I174" s="69" t="s">
        <v>1347</v>
      </c>
      <c r="J174" s="76"/>
      <c r="K174" s="77"/>
      <c r="L174" s="77"/>
      <c r="M174" s="54"/>
      <c r="N174" s="54"/>
      <c r="O174" s="54"/>
      <c r="P174" s="54"/>
      <c r="Q174"/>
      <c r="R174"/>
    </row>
    <row r="175" spans="1:18" s="57" customFormat="1">
      <c r="A175" s="64" t="s">
        <v>1024</v>
      </c>
      <c r="B175" s="74">
        <v>15</v>
      </c>
      <c r="C175" s="74" t="s">
        <v>1367</v>
      </c>
      <c r="D175" s="64" t="s">
        <v>34</v>
      </c>
      <c r="E175" s="64" t="s">
        <v>38</v>
      </c>
      <c r="F175" s="64" t="s">
        <v>26</v>
      </c>
      <c r="G175" s="64" t="s">
        <v>192</v>
      </c>
      <c r="H175" s="64"/>
      <c r="I175" s="69" t="s">
        <v>1347</v>
      </c>
      <c r="J175" s="76"/>
      <c r="K175" s="77"/>
      <c r="L175" s="77"/>
      <c r="M175" s="54"/>
      <c r="N175" s="54"/>
      <c r="O175" s="54"/>
      <c r="P175" s="54"/>
      <c r="Q175"/>
      <c r="R175"/>
    </row>
    <row r="176" spans="1:18" s="57" customFormat="1">
      <c r="A176" s="64" t="s">
        <v>1025</v>
      </c>
      <c r="B176" s="74">
        <v>45</v>
      </c>
      <c r="C176" s="74" t="s">
        <v>1367</v>
      </c>
      <c r="D176" s="64" t="s">
        <v>34</v>
      </c>
      <c r="E176" s="64" t="s">
        <v>38</v>
      </c>
      <c r="F176" s="64" t="s">
        <v>26</v>
      </c>
      <c r="G176" s="64" t="s">
        <v>193</v>
      </c>
      <c r="H176" s="64"/>
      <c r="I176" s="69" t="s">
        <v>1347</v>
      </c>
      <c r="J176" s="76"/>
      <c r="K176" s="77"/>
      <c r="L176" s="77"/>
      <c r="M176" s="54"/>
      <c r="N176" s="54"/>
      <c r="O176" s="54"/>
      <c r="P176" s="54"/>
      <c r="Q176"/>
      <c r="R176"/>
    </row>
    <row r="177" spans="1:18" s="57" customFormat="1">
      <c r="A177" s="64" t="s">
        <v>253</v>
      </c>
      <c r="B177" s="74">
        <v>600</v>
      </c>
      <c r="C177" s="74" t="s">
        <v>1367</v>
      </c>
      <c r="D177" s="64" t="s">
        <v>34</v>
      </c>
      <c r="E177" s="64" t="s">
        <v>38</v>
      </c>
      <c r="F177" s="64" t="s">
        <v>26</v>
      </c>
      <c r="G177" s="64" t="s">
        <v>254</v>
      </c>
      <c r="H177" s="64"/>
      <c r="I177" s="69" t="s">
        <v>1348</v>
      </c>
      <c r="J177" s="76"/>
      <c r="K177" s="77"/>
      <c r="L177" s="77"/>
      <c r="M177" s="54"/>
      <c r="N177" s="54"/>
      <c r="O177" s="54"/>
      <c r="P177" s="54"/>
      <c r="Q177"/>
      <c r="R177"/>
    </row>
    <row r="178" spans="1:18" s="57" customFormat="1">
      <c r="A178" s="64" t="s">
        <v>940</v>
      </c>
      <c r="B178" s="74">
        <v>7</v>
      </c>
      <c r="C178" s="74" t="s">
        <v>1367</v>
      </c>
      <c r="D178" s="64" t="s">
        <v>20</v>
      </c>
      <c r="E178" s="64" t="s">
        <v>38</v>
      </c>
      <c r="F178" s="64" t="s">
        <v>26</v>
      </c>
      <c r="G178" s="64" t="s">
        <v>939</v>
      </c>
      <c r="H178" s="64"/>
      <c r="I178" s="69" t="s">
        <v>1348</v>
      </c>
      <c r="J178" s="76"/>
      <c r="K178" s="77"/>
      <c r="L178" s="77"/>
      <c r="M178" s="54"/>
      <c r="N178" s="54"/>
      <c r="O178" s="54"/>
      <c r="P178" s="54"/>
      <c r="Q178"/>
      <c r="R178"/>
    </row>
    <row r="179" spans="1:18" s="57" customFormat="1">
      <c r="A179" s="64" t="s">
        <v>293</v>
      </c>
      <c r="B179" s="74">
        <v>1300</v>
      </c>
      <c r="C179" s="74" t="s">
        <v>1367</v>
      </c>
      <c r="D179" s="64" t="s">
        <v>34</v>
      </c>
      <c r="E179" s="64" t="s">
        <v>38</v>
      </c>
      <c r="F179" s="64" t="s">
        <v>26</v>
      </c>
      <c r="G179" s="64" t="s">
        <v>189</v>
      </c>
      <c r="H179" s="64"/>
      <c r="I179" s="69" t="s">
        <v>1348</v>
      </c>
      <c r="J179" s="76"/>
      <c r="K179" s="77"/>
      <c r="L179" s="77"/>
      <c r="M179" s="54"/>
      <c r="N179" s="54"/>
      <c r="O179" s="54"/>
      <c r="P179" s="54"/>
      <c r="Q179"/>
      <c r="R179"/>
    </row>
    <row r="180" spans="1:18" s="57" customFormat="1">
      <c r="A180" s="64" t="s">
        <v>1021</v>
      </c>
      <c r="B180" s="74">
        <v>405</v>
      </c>
      <c r="C180" s="74" t="s">
        <v>1367</v>
      </c>
      <c r="D180" s="64" t="s">
        <v>34</v>
      </c>
      <c r="E180" s="64" t="s">
        <v>38</v>
      </c>
      <c r="F180" s="64" t="s">
        <v>26</v>
      </c>
      <c r="G180" s="64" t="s">
        <v>1022</v>
      </c>
      <c r="H180" s="64"/>
      <c r="I180" s="69" t="s">
        <v>1348</v>
      </c>
      <c r="J180" s="76"/>
      <c r="K180" s="77"/>
      <c r="L180" s="77"/>
      <c r="M180" s="54"/>
      <c r="N180" s="54"/>
      <c r="O180" s="54"/>
      <c r="P180" s="54"/>
      <c r="Q180"/>
      <c r="R180"/>
    </row>
    <row r="181" spans="1:18" s="57" customFormat="1">
      <c r="A181" s="64" t="s">
        <v>1023</v>
      </c>
      <c r="B181" s="74">
        <v>400</v>
      </c>
      <c r="C181" s="74" t="s">
        <v>1367</v>
      </c>
      <c r="D181" s="64" t="s">
        <v>34</v>
      </c>
      <c r="E181" s="64" t="s">
        <v>38</v>
      </c>
      <c r="F181" s="64" t="s">
        <v>26</v>
      </c>
      <c r="G181" s="64" t="s">
        <v>191</v>
      </c>
      <c r="H181" s="64"/>
      <c r="I181" s="69" t="s">
        <v>1348</v>
      </c>
      <c r="J181" s="76"/>
      <c r="K181" s="77"/>
      <c r="L181" s="77"/>
      <c r="M181" s="54"/>
      <c r="N181" s="54"/>
      <c r="O181" s="54"/>
      <c r="P181" s="54"/>
      <c r="Q181"/>
      <c r="R181"/>
    </row>
    <row r="182" spans="1:18" s="57" customFormat="1">
      <c r="A182" s="64" t="s">
        <v>71</v>
      </c>
      <c r="B182" s="74">
        <v>405</v>
      </c>
      <c r="C182" s="74" t="s">
        <v>1367</v>
      </c>
      <c r="D182" s="64" t="s">
        <v>34</v>
      </c>
      <c r="E182" s="64" t="s">
        <v>38</v>
      </c>
      <c r="F182" s="64" t="s">
        <v>26</v>
      </c>
      <c r="G182" s="64" t="s">
        <v>72</v>
      </c>
      <c r="H182" s="64"/>
      <c r="I182" s="69" t="s">
        <v>1348</v>
      </c>
      <c r="J182" s="76"/>
      <c r="K182" s="77"/>
      <c r="L182" s="77"/>
      <c r="M182" s="54"/>
      <c r="N182" s="54"/>
      <c r="O182" s="54"/>
      <c r="P182" s="54"/>
      <c r="Q182"/>
      <c r="R182"/>
    </row>
    <row r="183" spans="1:18" s="57" customFormat="1">
      <c r="A183" s="64" t="s">
        <v>293</v>
      </c>
      <c r="B183" s="74">
        <v>1000</v>
      </c>
      <c r="C183" s="74" t="s">
        <v>1367</v>
      </c>
      <c r="D183" s="64" t="s">
        <v>34</v>
      </c>
      <c r="E183" s="64" t="s">
        <v>38</v>
      </c>
      <c r="F183" s="64" t="s">
        <v>26</v>
      </c>
      <c r="G183" s="64" t="s">
        <v>189</v>
      </c>
      <c r="H183" s="64"/>
      <c r="I183" s="69" t="s">
        <v>1349</v>
      </c>
      <c r="J183" s="76"/>
      <c r="K183" s="77"/>
      <c r="L183" s="77"/>
      <c r="M183" s="54"/>
      <c r="N183" s="54"/>
      <c r="O183" s="54"/>
      <c r="P183" s="54"/>
      <c r="Q183"/>
      <c r="R183"/>
    </row>
    <row r="184" spans="1:18" s="57" customFormat="1">
      <c r="A184" s="64" t="s">
        <v>1021</v>
      </c>
      <c r="B184" s="74">
        <v>1500</v>
      </c>
      <c r="C184" s="74" t="s">
        <v>1367</v>
      </c>
      <c r="D184" s="64" t="s">
        <v>34</v>
      </c>
      <c r="E184" s="64" t="s">
        <v>38</v>
      </c>
      <c r="F184" s="64" t="s">
        <v>26</v>
      </c>
      <c r="G184" s="64" t="s">
        <v>1022</v>
      </c>
      <c r="H184" s="64"/>
      <c r="I184" s="69" t="s">
        <v>1349</v>
      </c>
      <c r="J184" s="76"/>
      <c r="K184" s="77"/>
      <c r="L184" s="77"/>
      <c r="M184" s="54"/>
      <c r="N184" s="54"/>
      <c r="O184" s="54"/>
      <c r="P184" s="54"/>
      <c r="Q184"/>
      <c r="R184"/>
    </row>
    <row r="185" spans="1:18" s="57" customFormat="1">
      <c r="A185" s="64" t="s">
        <v>1023</v>
      </c>
      <c r="B185" s="74">
        <v>1000</v>
      </c>
      <c r="C185" s="74" t="s">
        <v>1367</v>
      </c>
      <c r="D185" s="64" t="s">
        <v>34</v>
      </c>
      <c r="E185" s="64" t="s">
        <v>38</v>
      </c>
      <c r="F185" s="64" t="s">
        <v>26</v>
      </c>
      <c r="G185" s="64" t="s">
        <v>191</v>
      </c>
      <c r="H185" s="64"/>
      <c r="I185" s="69" t="s">
        <v>1349</v>
      </c>
      <c r="J185" s="76"/>
      <c r="K185" s="77"/>
      <c r="L185" s="77"/>
      <c r="M185" s="54"/>
      <c r="N185" s="54"/>
      <c r="O185" s="54"/>
      <c r="P185" s="54"/>
      <c r="Q185"/>
      <c r="R185"/>
    </row>
    <row r="186" spans="1:18" s="57" customFormat="1">
      <c r="A186" s="64" t="s">
        <v>71</v>
      </c>
      <c r="B186" s="74">
        <v>1500</v>
      </c>
      <c r="C186" s="74" t="s">
        <v>1367</v>
      </c>
      <c r="D186" s="64" t="s">
        <v>34</v>
      </c>
      <c r="E186" s="64" t="s">
        <v>38</v>
      </c>
      <c r="F186" s="64" t="s">
        <v>26</v>
      </c>
      <c r="G186" s="64" t="s">
        <v>72</v>
      </c>
      <c r="H186" s="64"/>
      <c r="I186" s="69" t="s">
        <v>1349</v>
      </c>
      <c r="J186" s="76"/>
      <c r="K186" s="77"/>
      <c r="L186" s="77"/>
      <c r="M186" s="54"/>
      <c r="N186" s="54"/>
      <c r="O186" s="54"/>
      <c r="P186" s="54"/>
      <c r="Q186"/>
      <c r="R186"/>
    </row>
    <row r="187" spans="1:18" s="57" customFormat="1">
      <c r="A187" s="64" t="s">
        <v>1021</v>
      </c>
      <c r="B187" s="74">
        <v>511</v>
      </c>
      <c r="C187" s="74" t="s">
        <v>1367</v>
      </c>
      <c r="D187" s="64" t="s">
        <v>34</v>
      </c>
      <c r="E187" s="64" t="s">
        <v>38</v>
      </c>
      <c r="F187" s="64" t="s">
        <v>26</v>
      </c>
      <c r="G187" s="64" t="s">
        <v>1022</v>
      </c>
      <c r="H187" s="64"/>
      <c r="I187" s="69" t="s">
        <v>1350</v>
      </c>
      <c r="J187" s="76"/>
      <c r="K187" s="77"/>
      <c r="L187" s="77"/>
      <c r="M187" s="54"/>
      <c r="N187" s="54"/>
      <c r="O187" s="54"/>
      <c r="P187" s="54"/>
      <c r="Q187"/>
      <c r="R187"/>
    </row>
    <row r="188" spans="1:18" s="57" customFormat="1">
      <c r="A188" s="64" t="s">
        <v>71</v>
      </c>
      <c r="B188" s="74">
        <v>511</v>
      </c>
      <c r="C188" s="74" t="s">
        <v>1367</v>
      </c>
      <c r="D188" s="64" t="s">
        <v>34</v>
      </c>
      <c r="E188" s="64" t="s">
        <v>38</v>
      </c>
      <c r="F188" s="64" t="s">
        <v>26</v>
      </c>
      <c r="G188" s="64" t="s">
        <v>72</v>
      </c>
      <c r="H188" s="64"/>
      <c r="I188" s="69" t="s">
        <v>1350</v>
      </c>
      <c r="J188" s="76"/>
      <c r="K188" s="77"/>
      <c r="L188" s="77"/>
      <c r="M188" s="54"/>
      <c r="N188" s="54"/>
      <c r="O188" s="54"/>
      <c r="P188" s="54"/>
      <c r="Q188"/>
      <c r="R188"/>
    </row>
    <row r="189" spans="1:18" s="57" customFormat="1">
      <c r="A189" s="64" t="s">
        <v>710</v>
      </c>
      <c r="B189" s="74">
        <v>29</v>
      </c>
      <c r="C189" s="74" t="s">
        <v>1367</v>
      </c>
      <c r="D189" s="64" t="s">
        <v>34</v>
      </c>
      <c r="E189" s="64" t="s">
        <v>131</v>
      </c>
      <c r="F189" s="64" t="s">
        <v>26</v>
      </c>
      <c r="G189" s="64" t="s">
        <v>711</v>
      </c>
      <c r="H189" s="64"/>
      <c r="I189" s="69" t="s">
        <v>1350</v>
      </c>
      <c r="J189" s="76"/>
      <c r="K189" s="77"/>
      <c r="L189" s="77"/>
      <c r="M189" s="54"/>
      <c r="N189" s="54"/>
      <c r="O189" s="54"/>
      <c r="P189" s="54"/>
      <c r="Q189"/>
      <c r="R189"/>
    </row>
    <row r="190" spans="1:18" s="57" customFormat="1" ht="15.65" customHeight="1">
      <c r="A190" s="64" t="s">
        <v>1023</v>
      </c>
      <c r="B190" s="74">
        <v>2250</v>
      </c>
      <c r="C190" s="74" t="s">
        <v>1367</v>
      </c>
      <c r="D190" s="64" t="s">
        <v>34</v>
      </c>
      <c r="E190" s="64" t="s">
        <v>38</v>
      </c>
      <c r="F190" s="64" t="s">
        <v>26</v>
      </c>
      <c r="G190" s="64" t="s">
        <v>191</v>
      </c>
      <c r="H190" s="64"/>
      <c r="I190" s="69" t="s">
        <v>1351</v>
      </c>
      <c r="J190" s="76"/>
      <c r="K190" s="77"/>
      <c r="L190" s="77"/>
      <c r="M190" s="54"/>
      <c r="N190" s="54"/>
      <c r="O190" s="54"/>
      <c r="P190" s="54"/>
      <c r="Q190"/>
      <c r="R190"/>
    </row>
    <row r="191" spans="1:18" s="57" customFormat="1">
      <c r="A191" s="90" t="s">
        <v>39</v>
      </c>
      <c r="B191" s="91">
        <v>2250</v>
      </c>
      <c r="C191" s="74" t="s">
        <v>1367</v>
      </c>
      <c r="D191" s="64" t="s">
        <v>34</v>
      </c>
      <c r="E191" s="64" t="s">
        <v>38</v>
      </c>
      <c r="F191" s="64" t="s">
        <v>26</v>
      </c>
      <c r="G191" s="69" t="s">
        <v>40</v>
      </c>
      <c r="H191" s="64"/>
      <c r="I191" s="69" t="s">
        <v>1351</v>
      </c>
      <c r="J191" s="76"/>
      <c r="K191" s="77"/>
      <c r="L191" s="77"/>
      <c r="M191" s="54"/>
      <c r="N191" s="54"/>
      <c r="O191" s="54"/>
      <c r="P191" s="54"/>
      <c r="Q191"/>
      <c r="R191"/>
    </row>
    <row r="192" spans="1:18" s="57" customFormat="1">
      <c r="A192" s="64" t="s">
        <v>1004</v>
      </c>
      <c r="B192" s="91">
        <v>2.2999999999999998</v>
      </c>
      <c r="C192" s="74" t="s">
        <v>1367</v>
      </c>
      <c r="D192" s="64" t="s">
        <v>155</v>
      </c>
      <c r="E192" s="69" t="s">
        <v>119</v>
      </c>
      <c r="F192" s="64" t="s">
        <v>26</v>
      </c>
      <c r="G192" s="69" t="s">
        <v>1003</v>
      </c>
      <c r="H192" s="64"/>
      <c r="I192" s="69" t="s">
        <v>1352</v>
      </c>
      <c r="J192" s="76"/>
      <c r="K192" s="77"/>
      <c r="L192" s="77"/>
      <c r="M192" s="54"/>
      <c r="N192" s="54"/>
      <c r="O192" s="54"/>
      <c r="P192" s="54"/>
      <c r="Q192"/>
      <c r="R192"/>
    </row>
    <row r="193" spans="1:20" s="57" customFormat="1">
      <c r="A193" s="64" t="s">
        <v>25</v>
      </c>
      <c r="B193" s="74">
        <v>50000</v>
      </c>
      <c r="C193" s="74" t="s">
        <v>1367</v>
      </c>
      <c r="D193" s="64" t="s">
        <v>20</v>
      </c>
      <c r="E193" s="64" t="s">
        <v>8</v>
      </c>
      <c r="F193" s="64" t="s">
        <v>26</v>
      </c>
      <c r="G193" s="69" t="s">
        <v>4</v>
      </c>
      <c r="H193" s="64"/>
      <c r="I193" s="64" t="s">
        <v>1332</v>
      </c>
      <c r="J193" s="83"/>
      <c r="K193" s="70"/>
      <c r="L193" s="70"/>
      <c r="M193" s="62"/>
      <c r="N193" s="62"/>
      <c r="O193" s="62"/>
      <c r="P193" s="62"/>
    </row>
    <row r="194" spans="1:20" s="57" customFormat="1">
      <c r="A194" s="83"/>
      <c r="B194" s="85"/>
      <c r="C194" s="85"/>
      <c r="D194" s="83"/>
      <c r="E194" s="83"/>
      <c r="F194" s="83"/>
      <c r="G194" s="83"/>
      <c r="H194" s="83"/>
      <c r="I194" s="83"/>
      <c r="J194" s="64"/>
      <c r="K194" s="70"/>
      <c r="L194" s="70"/>
      <c r="M194" s="62"/>
      <c r="N194" s="62"/>
      <c r="O194" s="62"/>
      <c r="P194" s="62"/>
    </row>
    <row r="195" spans="1:20" s="57" customFormat="1">
      <c r="A195" s="67" t="s">
        <v>0</v>
      </c>
      <c r="B195" s="68" t="s">
        <v>1314</v>
      </c>
      <c r="C195" s="68"/>
      <c r="D195" s="64"/>
      <c r="E195" s="64"/>
      <c r="F195" s="64"/>
      <c r="G195" s="64"/>
      <c r="H195" s="64"/>
      <c r="I195" s="64"/>
      <c r="J195" s="64"/>
      <c r="K195" s="70"/>
      <c r="L195" s="70"/>
      <c r="M195" s="62"/>
      <c r="N195" s="62"/>
      <c r="O195" s="62"/>
      <c r="P195" s="62"/>
    </row>
    <row r="196" spans="1:20" s="57" customFormat="1">
      <c r="A196" s="71" t="s">
        <v>2</v>
      </c>
      <c r="B196" s="72">
        <v>1</v>
      </c>
      <c r="C196" s="72"/>
      <c r="D196" s="64"/>
      <c r="E196" s="64"/>
      <c r="F196" s="64"/>
      <c r="G196" s="64"/>
      <c r="H196" s="64"/>
      <c r="I196" s="64"/>
      <c r="J196" s="64"/>
      <c r="K196" s="70"/>
      <c r="L196" s="70"/>
      <c r="M196" s="62"/>
      <c r="N196" s="62"/>
      <c r="O196" s="62"/>
      <c r="P196" s="62"/>
    </row>
    <row r="197" spans="1:20" s="57" customFormat="1">
      <c r="A197" s="71" t="s">
        <v>13</v>
      </c>
      <c r="B197" s="72" t="s">
        <v>1387</v>
      </c>
      <c r="C197" s="72"/>
      <c r="D197" s="64"/>
      <c r="E197" s="64"/>
      <c r="F197" s="64"/>
      <c r="G197" s="64"/>
      <c r="H197" s="64"/>
      <c r="I197" s="64"/>
      <c r="J197" s="64"/>
      <c r="K197" s="70"/>
      <c r="L197" s="70"/>
      <c r="M197" s="62"/>
      <c r="N197" s="62"/>
      <c r="O197" s="62"/>
      <c r="P197" s="62"/>
    </row>
    <row r="198" spans="1:20" s="57" customFormat="1">
      <c r="A198" s="71" t="s">
        <v>3</v>
      </c>
      <c r="B198" s="74" t="s">
        <v>1315</v>
      </c>
      <c r="C198" s="74"/>
      <c r="D198" s="64"/>
      <c r="E198" s="64"/>
      <c r="F198" s="64"/>
      <c r="G198" s="64"/>
      <c r="H198" s="64"/>
      <c r="I198" s="64"/>
      <c r="J198" s="64"/>
      <c r="K198" s="70"/>
      <c r="L198" s="70"/>
      <c r="M198" s="62"/>
      <c r="N198" s="62"/>
      <c r="O198" s="62"/>
      <c r="P198" s="62"/>
    </row>
    <row r="199" spans="1:20" s="57" customFormat="1">
      <c r="A199" s="71" t="s">
        <v>1</v>
      </c>
      <c r="B199" s="72" t="s">
        <v>20</v>
      </c>
      <c r="C199" s="72"/>
      <c r="D199" s="64"/>
      <c r="E199" s="64"/>
      <c r="F199" s="64"/>
      <c r="G199" s="64"/>
      <c r="H199" s="64"/>
      <c r="I199" s="64"/>
      <c r="J199" s="64"/>
      <c r="K199" s="70"/>
      <c r="L199" s="70"/>
      <c r="M199" s="62"/>
      <c r="N199" s="62"/>
      <c r="O199" s="62"/>
      <c r="P199" s="62"/>
    </row>
    <row r="200" spans="1:20" s="57" customFormat="1">
      <c r="A200" s="71" t="s">
        <v>7</v>
      </c>
      <c r="B200" s="74" t="s">
        <v>7</v>
      </c>
      <c r="C200" s="74"/>
      <c r="D200" s="64"/>
      <c r="E200" s="64"/>
      <c r="F200" s="64"/>
      <c r="G200" s="64"/>
      <c r="H200" s="64"/>
      <c r="I200" s="64"/>
      <c r="J200" s="75"/>
      <c r="K200" s="70"/>
      <c r="L200" s="70"/>
      <c r="M200" s="62"/>
      <c r="N200" s="62"/>
      <c r="O200" s="62"/>
      <c r="P200" s="62"/>
    </row>
    <row r="201" spans="1:20" s="57" customFormat="1">
      <c r="A201" s="75" t="s">
        <v>14</v>
      </c>
      <c r="B201" s="68"/>
      <c r="C201" s="68"/>
      <c r="D201" s="75"/>
      <c r="E201" s="75"/>
      <c r="F201" s="75"/>
      <c r="G201" s="75"/>
      <c r="H201" s="75"/>
      <c r="I201" s="75"/>
      <c r="J201" s="1"/>
      <c r="K201" s="63"/>
      <c r="L201" s="63"/>
      <c r="M201" s="63"/>
      <c r="N201" s="63"/>
      <c r="O201" s="63"/>
      <c r="P201" s="63"/>
      <c r="Q201" s="1"/>
      <c r="R201" s="1"/>
      <c r="S201" s="45"/>
      <c r="T201" s="1"/>
    </row>
    <row r="202" spans="1:20" s="57" customFormat="1">
      <c r="A202" s="75" t="s">
        <v>15</v>
      </c>
      <c r="B202" s="68" t="s">
        <v>16</v>
      </c>
      <c r="C202" s="68" t="s">
        <v>17</v>
      </c>
      <c r="D202" s="75" t="s">
        <v>1</v>
      </c>
      <c r="E202" s="75" t="s">
        <v>7</v>
      </c>
      <c r="F202" s="75" t="s">
        <v>5</v>
      </c>
      <c r="G202" s="75" t="s">
        <v>3</v>
      </c>
      <c r="H202" s="84" t="s">
        <v>18</v>
      </c>
      <c r="I202" s="84" t="s">
        <v>13</v>
      </c>
      <c r="J202" s="64"/>
      <c r="K202" s="70"/>
      <c r="L202" s="70"/>
      <c r="M202" s="62"/>
      <c r="N202" s="62"/>
      <c r="O202" s="62"/>
      <c r="P202" s="62"/>
    </row>
    <row r="203" spans="1:20" s="57" customFormat="1">
      <c r="A203" s="74" t="str">
        <f>B195</f>
        <v>treatment of electrolyzer balance of plant, 1MWe, PEM</v>
      </c>
      <c r="B203" s="70">
        <v>-1</v>
      </c>
      <c r="C203" s="74" t="s">
        <v>1413</v>
      </c>
      <c r="D203" s="64" t="s">
        <v>20</v>
      </c>
      <c r="E203" s="64" t="str">
        <f>B200</f>
        <v>unit</v>
      </c>
      <c r="F203" s="64" t="s">
        <v>24</v>
      </c>
      <c r="G203" s="64" t="str">
        <f>B198</f>
        <v>used electrolyzer balance of plant, 1MWe, PEM</v>
      </c>
      <c r="H203" s="64"/>
      <c r="I203" s="64"/>
      <c r="J203" s="76"/>
      <c r="K203" s="77"/>
      <c r="L203" s="77"/>
      <c r="M203" s="54"/>
      <c r="N203" s="54"/>
      <c r="O203" s="54"/>
      <c r="P203" s="54"/>
      <c r="Q203"/>
      <c r="R203"/>
    </row>
    <row r="204" spans="1:20" s="57" customFormat="1">
      <c r="A204" s="74" t="s">
        <v>1273</v>
      </c>
      <c r="B204" s="64">
        <f>7523*-1</f>
        <v>-7523</v>
      </c>
      <c r="C204" s="74" t="s">
        <v>1367</v>
      </c>
      <c r="D204" s="64" t="s">
        <v>169</v>
      </c>
      <c r="E204" s="64" t="s">
        <v>38</v>
      </c>
      <c r="F204" s="64" t="s">
        <v>26</v>
      </c>
      <c r="G204" s="64" t="s">
        <v>1272</v>
      </c>
      <c r="H204" s="64"/>
      <c r="I204" s="64"/>
      <c r="J204" s="76"/>
      <c r="K204" s="77"/>
      <c r="L204" s="77"/>
      <c r="M204" s="54"/>
      <c r="N204" s="54"/>
      <c r="O204" s="54"/>
      <c r="P204" s="54"/>
      <c r="Q204"/>
      <c r="R204"/>
    </row>
    <row r="205" spans="1:20" s="57" customFormat="1">
      <c r="A205" s="74" t="s">
        <v>1353</v>
      </c>
      <c r="B205" s="64">
        <v>-3312</v>
      </c>
      <c r="C205" s="74" t="s">
        <v>1367</v>
      </c>
      <c r="D205" s="64" t="s">
        <v>51</v>
      </c>
      <c r="E205" s="64" t="s">
        <v>38</v>
      </c>
      <c r="F205" s="64" t="s">
        <v>26</v>
      </c>
      <c r="G205" s="74" t="s">
        <v>1354</v>
      </c>
      <c r="H205" s="64"/>
      <c r="I205" s="64"/>
      <c r="J205" s="76"/>
      <c r="K205" s="77"/>
      <c r="L205" s="77"/>
      <c r="M205" s="54"/>
      <c r="N205" s="54"/>
      <c r="O205" s="54"/>
      <c r="P205" s="54"/>
      <c r="Q205"/>
      <c r="R205"/>
    </row>
    <row r="206" spans="1:20" s="57" customFormat="1">
      <c r="A206" s="64" t="s">
        <v>1393</v>
      </c>
      <c r="B206" s="64">
        <v>-260</v>
      </c>
      <c r="C206" s="74" t="s">
        <v>1367</v>
      </c>
      <c r="D206" s="64" t="s">
        <v>169</v>
      </c>
      <c r="E206" s="64" t="s">
        <v>38</v>
      </c>
      <c r="F206" s="64" t="s">
        <v>26</v>
      </c>
      <c r="G206" s="64" t="s">
        <v>1394</v>
      </c>
      <c r="H206" s="64"/>
      <c r="I206" s="64"/>
      <c r="J206" s="76"/>
      <c r="K206" s="77"/>
      <c r="L206" s="77"/>
      <c r="M206" s="54"/>
      <c r="N206" s="54"/>
      <c r="O206" s="54"/>
      <c r="P206" s="54"/>
      <c r="Q206"/>
      <c r="R206"/>
    </row>
    <row r="207" spans="1:20" s="57" customFormat="1">
      <c r="A207" s="64" t="s">
        <v>1355</v>
      </c>
      <c r="B207" s="64">
        <v>-32</v>
      </c>
      <c r="C207" s="74" t="s">
        <v>1367</v>
      </c>
      <c r="D207" s="64" t="s">
        <v>51</v>
      </c>
      <c r="E207" s="64" t="s">
        <v>38</v>
      </c>
      <c r="F207" s="64" t="s">
        <v>26</v>
      </c>
      <c r="G207" s="64" t="s">
        <v>1356</v>
      </c>
      <c r="H207" s="64"/>
      <c r="I207" s="64"/>
      <c r="J207" s="76"/>
      <c r="K207" s="77"/>
      <c r="L207" s="77"/>
      <c r="M207" s="54"/>
      <c r="N207" s="54"/>
      <c r="O207" s="54"/>
      <c r="P207" s="54"/>
      <c r="Q207"/>
      <c r="R207"/>
    </row>
    <row r="208" spans="1:20" s="57" customFormat="1">
      <c r="A208" s="64" t="s">
        <v>1357</v>
      </c>
      <c r="B208" s="64">
        <v>-14</v>
      </c>
      <c r="C208" s="74" t="s">
        <v>1367</v>
      </c>
      <c r="D208" s="64" t="s">
        <v>51</v>
      </c>
      <c r="E208" s="64" t="s">
        <v>38</v>
      </c>
      <c r="F208" s="64" t="s">
        <v>26</v>
      </c>
      <c r="G208" s="64" t="s">
        <v>1358</v>
      </c>
      <c r="H208" s="64"/>
      <c r="I208" s="64"/>
      <c r="J208" s="76"/>
      <c r="K208" s="77"/>
      <c r="L208" s="77"/>
      <c r="M208" s="54"/>
      <c r="N208" s="54"/>
      <c r="O208" s="54"/>
      <c r="P208" s="54"/>
      <c r="Q208"/>
      <c r="R208"/>
    </row>
    <row r="209" spans="1:21" s="57" customFormat="1">
      <c r="A209" s="64" t="s">
        <v>851</v>
      </c>
      <c r="B209" s="64">
        <v>-8</v>
      </c>
      <c r="C209" s="74" t="s">
        <v>1367</v>
      </c>
      <c r="D209" s="64" t="s">
        <v>34</v>
      </c>
      <c r="E209" s="64" t="s">
        <v>38</v>
      </c>
      <c r="F209" s="64" t="s">
        <v>26</v>
      </c>
      <c r="G209" s="64" t="s">
        <v>852</v>
      </c>
      <c r="H209" s="64"/>
      <c r="I209" s="64"/>
      <c r="J209" s="76"/>
      <c r="K209" s="77"/>
      <c r="L209" s="77"/>
      <c r="M209" s="54"/>
      <c r="N209" s="54"/>
      <c r="O209" s="54"/>
      <c r="P209" s="54"/>
      <c r="Q209"/>
      <c r="R209"/>
    </row>
    <row r="210" spans="1:21" s="57" customFormat="1">
      <c r="A210" s="64" t="s">
        <v>1359</v>
      </c>
      <c r="B210" s="64">
        <v>-764.6</v>
      </c>
      <c r="C210" s="74" t="s">
        <v>1367</v>
      </c>
      <c r="D210" s="64" t="s">
        <v>169</v>
      </c>
      <c r="E210" s="64" t="s">
        <v>38</v>
      </c>
      <c r="F210" s="64" t="s">
        <v>26</v>
      </c>
      <c r="G210" s="64" t="s">
        <v>1360</v>
      </c>
      <c r="H210" s="64"/>
      <c r="I210" s="64"/>
      <c r="J210" s="76"/>
      <c r="K210" s="77"/>
      <c r="L210" s="77"/>
      <c r="M210" s="54"/>
      <c r="N210" s="54"/>
      <c r="O210" s="54"/>
      <c r="P210" s="54"/>
      <c r="Q210"/>
      <c r="R210"/>
    </row>
    <row r="211" spans="1:21" s="57" customFormat="1">
      <c r="A211" s="64" t="s">
        <v>1361</v>
      </c>
      <c r="B211" s="64">
        <v>-600</v>
      </c>
      <c r="C211" s="74" t="s">
        <v>1367</v>
      </c>
      <c r="D211" s="64" t="s">
        <v>169</v>
      </c>
      <c r="E211" s="64" t="s">
        <v>38</v>
      </c>
      <c r="F211" s="64" t="s">
        <v>26</v>
      </c>
      <c r="G211" s="64" t="s">
        <v>1362</v>
      </c>
      <c r="H211" s="64"/>
      <c r="I211" s="64"/>
      <c r="J211" s="76"/>
      <c r="K211" s="77"/>
      <c r="L211" s="77"/>
      <c r="M211" s="54"/>
      <c r="N211" s="54"/>
      <c r="O211" s="54"/>
      <c r="P211" s="54"/>
      <c r="Q211"/>
      <c r="R211"/>
    </row>
    <row r="212" spans="1:21" s="57" customFormat="1">
      <c r="A212" s="64" t="s">
        <v>1395</v>
      </c>
      <c r="B212" s="64">
        <v>-345</v>
      </c>
      <c r="C212" s="74" t="s">
        <v>1367</v>
      </c>
      <c r="D212" s="64" t="s">
        <v>169</v>
      </c>
      <c r="E212" s="64" t="s">
        <v>38</v>
      </c>
      <c r="F212" s="64" t="s">
        <v>26</v>
      </c>
      <c r="G212" s="64" t="s">
        <v>1396</v>
      </c>
      <c r="H212" s="64"/>
      <c r="I212" s="64"/>
      <c r="J212" s="76"/>
      <c r="K212" s="77"/>
      <c r="L212" s="77"/>
      <c r="M212" s="54"/>
      <c r="N212" s="54"/>
      <c r="O212" s="54"/>
      <c r="P212" s="54"/>
      <c r="Q212"/>
      <c r="R212"/>
    </row>
    <row r="213" spans="1:21" s="57" customFormat="1">
      <c r="A213" s="64" t="s">
        <v>1333</v>
      </c>
      <c r="B213" s="64">
        <v>-147</v>
      </c>
      <c r="C213" s="74" t="s">
        <v>1367</v>
      </c>
      <c r="D213" s="64" t="s">
        <v>194</v>
      </c>
      <c r="E213" s="64" t="s">
        <v>38</v>
      </c>
      <c r="F213" s="64" t="s">
        <v>26</v>
      </c>
      <c r="G213" s="64" t="s">
        <v>620</v>
      </c>
      <c r="H213" s="64"/>
      <c r="I213" s="64"/>
      <c r="J213" s="76"/>
      <c r="K213" s="77"/>
      <c r="L213" s="77"/>
      <c r="M213" s="54"/>
      <c r="N213" s="54"/>
      <c r="O213" s="54"/>
      <c r="P213" s="54"/>
      <c r="Q213"/>
      <c r="R213"/>
    </row>
    <row r="214" spans="1:21" s="57" customFormat="1">
      <c r="A214" s="64" t="s">
        <v>1363</v>
      </c>
      <c r="B214" s="64">
        <v>-5600</v>
      </c>
      <c r="C214" s="74" t="s">
        <v>1367</v>
      </c>
      <c r="D214" s="64" t="s">
        <v>169</v>
      </c>
      <c r="E214" s="64" t="s">
        <v>38</v>
      </c>
      <c r="F214" s="64" t="s">
        <v>26</v>
      </c>
      <c r="G214" s="64" t="s">
        <v>1364</v>
      </c>
      <c r="H214" s="64"/>
      <c r="I214" s="64"/>
      <c r="J214" s="76"/>
      <c r="K214" s="77"/>
      <c r="L214" s="77"/>
      <c r="M214" s="54"/>
      <c r="N214" s="54"/>
      <c r="O214" s="54"/>
      <c r="P214" s="54"/>
      <c r="Q214"/>
      <c r="R214"/>
    </row>
    <row r="215" spans="1:21" s="57" customFormat="1">
      <c r="A215" s="64" t="s">
        <v>1365</v>
      </c>
      <c r="B215" s="64">
        <v>-100</v>
      </c>
      <c r="C215" s="74" t="s">
        <v>1367</v>
      </c>
      <c r="D215" s="64" t="s">
        <v>51</v>
      </c>
      <c r="E215" s="64" t="s">
        <v>38</v>
      </c>
      <c r="F215" s="64" t="s">
        <v>26</v>
      </c>
      <c r="G215" s="64" t="s">
        <v>1366</v>
      </c>
      <c r="H215" s="64"/>
      <c r="I215" s="64"/>
      <c r="J215" s="83"/>
      <c r="K215" s="70"/>
      <c r="L215" s="70"/>
      <c r="M215" s="62"/>
      <c r="N215" s="62"/>
      <c r="O215" s="62"/>
      <c r="P215" s="62"/>
    </row>
    <row r="216" spans="1:21" s="57" customFormat="1">
      <c r="A216" s="83"/>
      <c r="B216" s="85"/>
      <c r="C216" s="85"/>
      <c r="D216" s="83"/>
      <c r="E216" s="83"/>
      <c r="F216" s="83"/>
      <c r="G216" s="83"/>
      <c r="H216" s="83"/>
      <c r="I216" s="83"/>
      <c r="J216" s="64"/>
      <c r="K216" s="70"/>
      <c r="L216" s="70"/>
      <c r="M216" s="62"/>
      <c r="N216" s="62"/>
      <c r="O216" s="62"/>
      <c r="P216" s="62"/>
    </row>
    <row r="217" spans="1:21" s="57" customFormat="1">
      <c r="A217" s="67" t="s">
        <v>0</v>
      </c>
      <c r="B217" s="1" t="s">
        <v>1119</v>
      </c>
      <c r="C217" s="68"/>
      <c r="D217" s="69"/>
      <c r="E217" s="64"/>
      <c r="F217" s="64"/>
      <c r="G217" s="64"/>
      <c r="H217" s="64"/>
      <c r="I217" s="64"/>
      <c r="J217" s="64"/>
      <c r="K217" s="70"/>
      <c r="L217" s="70"/>
      <c r="M217" s="62"/>
      <c r="N217" s="62"/>
      <c r="O217" s="62"/>
      <c r="P217" s="62"/>
    </row>
    <row r="218" spans="1:21" s="57" customFormat="1">
      <c r="A218" s="71" t="s">
        <v>2</v>
      </c>
      <c r="B218" s="72">
        <v>1</v>
      </c>
      <c r="C218" s="72"/>
      <c r="D218" s="64"/>
      <c r="E218" s="64"/>
      <c r="F218" s="64"/>
      <c r="G218" s="64"/>
      <c r="H218" s="64"/>
      <c r="I218" s="64"/>
      <c r="J218" s="64"/>
      <c r="K218" s="70"/>
      <c r="L218" s="70"/>
      <c r="M218" s="62"/>
      <c r="N218" s="62"/>
      <c r="O218" s="62"/>
      <c r="P218" s="62"/>
    </row>
    <row r="219" spans="1:21" s="57" customFormat="1">
      <c r="A219" s="71" t="s">
        <v>13</v>
      </c>
      <c r="B219" s="95" t="s">
        <v>1391</v>
      </c>
      <c r="C219" s="72"/>
      <c r="D219" s="64"/>
      <c r="E219" s="64"/>
      <c r="F219" s="64"/>
      <c r="G219" s="64"/>
      <c r="H219" s="64"/>
      <c r="I219" s="64"/>
      <c r="J219" s="64"/>
      <c r="K219" s="70"/>
      <c r="L219" s="70"/>
      <c r="M219" s="62"/>
      <c r="N219" s="62"/>
      <c r="O219" s="62"/>
      <c r="P219" s="62"/>
    </row>
    <row r="220" spans="1:21" s="57" customFormat="1">
      <c r="A220" s="71" t="s">
        <v>3</v>
      </c>
      <c r="B220" s="73" t="s">
        <v>1227</v>
      </c>
      <c r="C220" s="73"/>
      <c r="D220" s="64"/>
      <c r="E220" s="64"/>
      <c r="F220" s="64"/>
      <c r="G220" s="64"/>
      <c r="H220" s="64"/>
      <c r="I220" s="64"/>
      <c r="J220" s="64"/>
      <c r="K220" s="70"/>
      <c r="L220" s="70"/>
      <c r="M220" s="62"/>
      <c r="N220" s="62"/>
      <c r="O220" s="62"/>
      <c r="P220" s="62"/>
    </row>
    <row r="221" spans="1:21" s="57" customFormat="1">
      <c r="A221" s="71" t="s">
        <v>1</v>
      </c>
      <c r="B221" s="72" t="s">
        <v>194</v>
      </c>
      <c r="C221" s="72"/>
      <c r="D221" s="64"/>
      <c r="E221" s="64"/>
      <c r="F221" s="64"/>
      <c r="G221" s="64"/>
      <c r="H221" s="64"/>
      <c r="I221" s="64"/>
      <c r="J221" s="75"/>
      <c r="K221" s="70"/>
      <c r="L221" s="70"/>
      <c r="M221" s="62"/>
      <c r="N221" s="62"/>
      <c r="O221" s="62"/>
      <c r="P221" s="62"/>
    </row>
    <row r="222" spans="1:21" s="57" customFormat="1">
      <c r="A222" s="71" t="s">
        <v>7</v>
      </c>
      <c r="B222" s="74" t="s">
        <v>38</v>
      </c>
      <c r="C222" s="74"/>
      <c r="D222" s="64"/>
      <c r="E222" s="64"/>
      <c r="F222" s="64"/>
      <c r="G222" s="64"/>
      <c r="H222" s="64"/>
      <c r="I222" s="75"/>
      <c r="J222" s="69"/>
      <c r="K222" s="70"/>
      <c r="L222" s="70"/>
      <c r="M222" s="62"/>
      <c r="N222" s="62"/>
      <c r="O222" s="62"/>
      <c r="P222" s="62"/>
    </row>
    <row r="223" spans="1:21" s="57" customFormat="1">
      <c r="A223" s="75" t="s">
        <v>14</v>
      </c>
      <c r="B223" s="68"/>
      <c r="C223" s="68"/>
      <c r="D223" s="75"/>
      <c r="E223" s="75"/>
      <c r="F223" s="75"/>
      <c r="G223" s="75"/>
      <c r="H223" s="75"/>
      <c r="I223" s="69"/>
      <c r="J223" s="1"/>
      <c r="K223" s="63"/>
      <c r="L223" s="63"/>
      <c r="M223" s="63"/>
      <c r="N223" s="63"/>
      <c r="O223" s="63"/>
      <c r="P223" s="63"/>
      <c r="Q223" s="1"/>
      <c r="R223" s="1"/>
      <c r="S223" s="45"/>
      <c r="T223" s="1"/>
      <c r="U223" s="45"/>
    </row>
    <row r="224" spans="1:21" s="57" customFormat="1">
      <c r="A224" s="75" t="s">
        <v>15</v>
      </c>
      <c r="B224" s="68" t="s">
        <v>16</v>
      </c>
      <c r="C224" s="68" t="s">
        <v>17</v>
      </c>
      <c r="D224" s="75" t="s">
        <v>1</v>
      </c>
      <c r="E224" s="75" t="s">
        <v>7</v>
      </c>
      <c r="F224" s="75" t="s">
        <v>5</v>
      </c>
      <c r="G224" s="75" t="s">
        <v>3</v>
      </c>
      <c r="H224" s="75" t="s">
        <v>18</v>
      </c>
      <c r="I224" s="84" t="s">
        <v>13</v>
      </c>
      <c r="J224" s="64"/>
      <c r="K224" s="70"/>
      <c r="L224" s="70"/>
      <c r="M224" s="62"/>
      <c r="N224" s="62"/>
      <c r="O224" s="62"/>
      <c r="P224" s="62"/>
      <c r="T224"/>
    </row>
    <row r="225" spans="1:18" s="57" customFormat="1">
      <c r="A225" s="74" t="s">
        <v>1119</v>
      </c>
      <c r="B225" s="74">
        <v>1</v>
      </c>
      <c r="C225" s="74" t="s">
        <v>1413</v>
      </c>
      <c r="D225" s="64" t="s">
        <v>194</v>
      </c>
      <c r="E225" s="64" t="str">
        <f>B222</f>
        <v>kilogram</v>
      </c>
      <c r="F225" s="64" t="s">
        <v>24</v>
      </c>
      <c r="G225" s="64" t="s">
        <v>1227</v>
      </c>
      <c r="H225" s="69"/>
      <c r="I225" s="69"/>
      <c r="J225" s="78"/>
      <c r="K225" s="77"/>
      <c r="L225" s="77"/>
      <c r="M225" s="54"/>
      <c r="N225" s="54"/>
      <c r="O225" s="54"/>
      <c r="P225" s="54"/>
      <c r="Q225"/>
      <c r="R225"/>
    </row>
    <row r="226" spans="1:18" s="57" customFormat="1">
      <c r="A226" s="74" t="str">
        <f>B242</f>
        <v>electrolyzer, AE, Stack</v>
      </c>
      <c r="B226" s="74">
        <f>(1/4259200)*4</f>
        <v>9.3914350112697222E-7</v>
      </c>
      <c r="C226" s="74" t="s">
        <v>1413</v>
      </c>
      <c r="D226" s="64" t="s">
        <v>20</v>
      </c>
      <c r="E226" s="64" t="s">
        <v>7</v>
      </c>
      <c r="F226" s="64" t="s">
        <v>26</v>
      </c>
      <c r="G226" s="74" t="str">
        <f>B245</f>
        <v>electrolyzer, AE, Stack</v>
      </c>
      <c r="H226" s="64"/>
      <c r="I226" s="64" t="s">
        <v>1368</v>
      </c>
      <c r="J226" s="78"/>
      <c r="K226" s="77"/>
      <c r="L226" s="77"/>
      <c r="M226" s="54"/>
      <c r="N226" s="54"/>
      <c r="O226" s="54"/>
      <c r="P226" s="54"/>
      <c r="Q226"/>
      <c r="R226"/>
    </row>
    <row r="227" spans="1:18" s="57" customFormat="1">
      <c r="A227" s="74" t="str">
        <f>B271</f>
        <v>electrolyzer, AE, Balance of Plant</v>
      </c>
      <c r="B227" s="74">
        <f>1/4259200</f>
        <v>2.3478587528174306E-7</v>
      </c>
      <c r="C227" s="74" t="s">
        <v>1413</v>
      </c>
      <c r="D227" s="64" t="s">
        <v>20</v>
      </c>
      <c r="E227" s="64" t="s">
        <v>7</v>
      </c>
      <c r="F227" s="64" t="s">
        <v>26</v>
      </c>
      <c r="G227" s="74" t="str">
        <f>B274</f>
        <v>electrolyzer, AE, Balance of Plant</v>
      </c>
      <c r="H227" s="64"/>
      <c r="I227" s="64" t="s">
        <v>1369</v>
      </c>
      <c r="J227" s="78"/>
      <c r="K227" s="77"/>
      <c r="L227" s="77"/>
      <c r="M227" s="54"/>
      <c r="N227" s="54"/>
      <c r="O227" s="54"/>
      <c r="P227" s="54"/>
      <c r="Q227"/>
      <c r="R227"/>
    </row>
    <row r="228" spans="1:18" s="57" customFormat="1">
      <c r="A228" s="74" t="s">
        <v>1370</v>
      </c>
      <c r="B228" s="74">
        <f>-1*B226</f>
        <v>-9.3914350112697222E-7</v>
      </c>
      <c r="C228" s="74" t="s">
        <v>1413</v>
      </c>
      <c r="D228" s="64" t="s">
        <v>20</v>
      </c>
      <c r="E228" s="64" t="s">
        <v>7</v>
      </c>
      <c r="F228" s="64" t="s">
        <v>26</v>
      </c>
      <c r="G228" s="64" t="s">
        <v>1371</v>
      </c>
      <c r="H228" s="64"/>
      <c r="I228" s="64" t="s">
        <v>1313</v>
      </c>
      <c r="J228" s="78"/>
      <c r="K228" s="77"/>
      <c r="L228" s="77"/>
      <c r="M228" s="54"/>
      <c r="N228" s="54"/>
      <c r="O228" s="54"/>
      <c r="P228" s="54"/>
      <c r="Q228"/>
      <c r="R228"/>
    </row>
    <row r="229" spans="1:18" s="57" customFormat="1">
      <c r="A229" s="74" t="s">
        <v>1372</v>
      </c>
      <c r="B229" s="74">
        <f>-1*B227</f>
        <v>-2.3478587528174306E-7</v>
      </c>
      <c r="C229" s="74" t="s">
        <v>1413</v>
      </c>
      <c r="D229" s="64" t="s">
        <v>20</v>
      </c>
      <c r="E229" s="64" t="s">
        <v>7</v>
      </c>
      <c r="F229" s="64" t="s">
        <v>26</v>
      </c>
      <c r="G229" s="64" t="s">
        <v>1373</v>
      </c>
      <c r="H229" s="64"/>
      <c r="I229" s="64" t="s">
        <v>1316</v>
      </c>
      <c r="J229"/>
      <c r="K229" s="77"/>
      <c r="L229" s="77"/>
      <c r="M229" s="54"/>
      <c r="N229" s="54"/>
      <c r="O229" s="54"/>
      <c r="P229" s="54"/>
      <c r="Q229"/>
      <c r="R229"/>
    </row>
    <row r="230" spans="1:18" s="57" customFormat="1">
      <c r="A230" s="51" t="s">
        <v>1216</v>
      </c>
      <c r="B230" s="51">
        <f>33.3+30.4+6</f>
        <v>69.699999999999989</v>
      </c>
      <c r="C230" s="74" t="s">
        <v>1367</v>
      </c>
      <c r="D230" t="s">
        <v>194</v>
      </c>
      <c r="E230" t="s">
        <v>8</v>
      </c>
      <c r="F230" t="s">
        <v>26</v>
      </c>
      <c r="G230" t="s">
        <v>4</v>
      </c>
      <c r="H230"/>
      <c r="I230" t="s">
        <v>1411</v>
      </c>
      <c r="J230" s="76"/>
      <c r="K230" s="77"/>
      <c r="L230" s="77"/>
      <c r="M230" s="54"/>
      <c r="N230" s="54"/>
      <c r="O230" s="54"/>
      <c r="P230" s="54"/>
      <c r="Q230"/>
      <c r="R230"/>
    </row>
    <row r="231" spans="1:18" s="57" customFormat="1">
      <c r="A231" s="71" t="s">
        <v>1032</v>
      </c>
      <c r="B231" s="74">
        <v>3.7000000000000002E-3</v>
      </c>
      <c r="C231" s="74" t="s">
        <v>1367</v>
      </c>
      <c r="D231" s="64" t="s">
        <v>34</v>
      </c>
      <c r="E231" s="64" t="s">
        <v>38</v>
      </c>
      <c r="F231" s="64" t="s">
        <v>26</v>
      </c>
      <c r="G231" s="71" t="s">
        <v>1033</v>
      </c>
      <c r="H231" s="69"/>
      <c r="I231" s="69" t="s">
        <v>1374</v>
      </c>
      <c r="J231" s="76"/>
      <c r="K231" s="77"/>
      <c r="L231" s="77"/>
      <c r="M231" s="54"/>
      <c r="N231" s="54"/>
      <c r="O231" s="54"/>
      <c r="P231" s="54"/>
      <c r="Q231"/>
      <c r="R231"/>
    </row>
    <row r="232" spans="1:18">
      <c r="A232" s="97" t="s">
        <v>1305</v>
      </c>
      <c r="B232" s="74">
        <v>14</v>
      </c>
      <c r="C232" s="74" t="s">
        <v>1367</v>
      </c>
      <c r="D232" s="64" t="s">
        <v>20</v>
      </c>
      <c r="E232" s="64" t="s">
        <v>38</v>
      </c>
      <c r="F232" s="64" t="s">
        <v>26</v>
      </c>
      <c r="G232" s="64" t="s">
        <v>1306</v>
      </c>
      <c r="H232" s="64"/>
      <c r="I232" s="64" t="s">
        <v>1317</v>
      </c>
    </row>
    <row r="233" spans="1:18" s="57" customFormat="1">
      <c r="A233" s="51" t="s">
        <v>630</v>
      </c>
      <c r="B233" s="51">
        <v>0.05</v>
      </c>
      <c r="C233" t="s">
        <v>172</v>
      </c>
      <c r="D233"/>
      <c r="E233" t="s">
        <v>38</v>
      </c>
      <c r="F233" t="s">
        <v>126</v>
      </c>
      <c r="G233"/>
      <c r="H233" t="s">
        <v>127</v>
      </c>
      <c r="I233" t="s">
        <v>1307</v>
      </c>
      <c r="J233" s="76"/>
      <c r="K233" s="77"/>
      <c r="L233" s="77"/>
      <c r="M233" s="54"/>
      <c r="N233" s="54"/>
      <c r="O233" s="54"/>
      <c r="P233" s="54"/>
      <c r="Q233" s="54"/>
      <c r="R233"/>
    </row>
    <row r="234" spans="1:18" s="57" customFormat="1">
      <c r="A234" s="79" t="s">
        <v>175</v>
      </c>
      <c r="B234" s="73">
        <v>8</v>
      </c>
      <c r="C234" t="s">
        <v>172</v>
      </c>
      <c r="D234" s="79"/>
      <c r="E234" s="79" t="s">
        <v>38</v>
      </c>
      <c r="F234" s="79" t="s">
        <v>126</v>
      </c>
      <c r="G234" s="79"/>
      <c r="H234" s="79" t="s">
        <v>127</v>
      </c>
      <c r="I234" s="80"/>
      <c r="J234" s="76"/>
      <c r="K234" s="77"/>
      <c r="L234" s="77"/>
      <c r="M234" s="54"/>
      <c r="N234" s="54"/>
      <c r="O234" s="54"/>
      <c r="P234" s="54"/>
      <c r="Q234" s="54"/>
      <c r="R234"/>
    </row>
    <row r="235" spans="1:18" s="57" customFormat="1">
      <c r="A235" s="106" t="s">
        <v>597</v>
      </c>
      <c r="B235" s="106">
        <v>1.95E-2</v>
      </c>
      <c r="C235" t="s">
        <v>172</v>
      </c>
      <c r="D235"/>
      <c r="E235" t="s">
        <v>119</v>
      </c>
      <c r="F235" t="s">
        <v>126</v>
      </c>
      <c r="G235"/>
      <c r="H235" t="s">
        <v>222</v>
      </c>
      <c r="I235" s="105" t="s">
        <v>1401</v>
      </c>
      <c r="J235" s="76"/>
      <c r="K235" s="77"/>
      <c r="L235" s="77"/>
      <c r="M235" s="54"/>
      <c r="N235" s="54"/>
      <c r="O235" s="54"/>
      <c r="P235" s="54"/>
      <c r="Q235" s="54"/>
      <c r="R235"/>
    </row>
    <row r="236" spans="1:18" s="57" customFormat="1">
      <c r="A236" s="106" t="s">
        <v>595</v>
      </c>
      <c r="B236" s="106">
        <v>1.46E-2</v>
      </c>
      <c r="C236" t="s">
        <v>172</v>
      </c>
      <c r="D236"/>
      <c r="E236" t="s">
        <v>119</v>
      </c>
      <c r="F236" t="s">
        <v>126</v>
      </c>
      <c r="G236"/>
      <c r="H236" t="s">
        <v>127</v>
      </c>
      <c r="I236" s="105" t="s">
        <v>1401</v>
      </c>
      <c r="J236" s="76"/>
      <c r="K236" s="77"/>
      <c r="L236" s="77"/>
      <c r="M236" s="54"/>
      <c r="N236" s="54"/>
      <c r="O236" s="54"/>
      <c r="P236" s="54"/>
      <c r="Q236" s="54"/>
      <c r="R236"/>
    </row>
    <row r="237" spans="1:18" s="57" customFormat="1">
      <c r="A237" s="106" t="s">
        <v>595</v>
      </c>
      <c r="B237" s="106">
        <v>4.8999999999999998E-3</v>
      </c>
      <c r="C237" t="s">
        <v>172</v>
      </c>
      <c r="D237"/>
      <c r="E237" t="s">
        <v>119</v>
      </c>
      <c r="F237" t="s">
        <v>126</v>
      </c>
      <c r="G237"/>
      <c r="H237" t="s">
        <v>596</v>
      </c>
      <c r="I237" s="105" t="s">
        <v>1401</v>
      </c>
      <c r="J237" s="76"/>
      <c r="K237" s="77"/>
      <c r="L237" s="77"/>
      <c r="M237" s="54"/>
      <c r="N237" s="54"/>
      <c r="O237" s="54"/>
      <c r="P237" s="54"/>
      <c r="Q237" s="54"/>
      <c r="R237"/>
    </row>
    <row r="238" spans="1:18" s="57" customFormat="1">
      <c r="A238" s="81" t="s">
        <v>187</v>
      </c>
      <c r="B238" s="82">
        <f>(0.12*1000)/(4259200/27.5)</f>
        <v>7.7479338842975209E-4</v>
      </c>
      <c r="C238" t="s">
        <v>172</v>
      </c>
      <c r="D238" s="81"/>
      <c r="E238" s="81" t="s">
        <v>188</v>
      </c>
      <c r="F238" s="81" t="s">
        <v>126</v>
      </c>
      <c r="G238" s="64"/>
      <c r="H238" s="81" t="s">
        <v>185</v>
      </c>
      <c r="I238" s="81" t="s">
        <v>1375</v>
      </c>
      <c r="J238" s="76"/>
      <c r="K238" s="77"/>
      <c r="L238" s="77"/>
      <c r="M238" s="54"/>
      <c r="N238" s="54"/>
      <c r="O238" s="54"/>
      <c r="P238" s="54"/>
      <c r="Q238" s="54"/>
      <c r="R238"/>
    </row>
    <row r="239" spans="1:18" s="57" customFormat="1">
      <c r="A239" s="81" t="s">
        <v>355</v>
      </c>
      <c r="B239" s="82">
        <f>(0.12*1000)/4259200</f>
        <v>2.8174305033809167E-5</v>
      </c>
      <c r="C239" t="s">
        <v>172</v>
      </c>
      <c r="D239" s="81"/>
      <c r="E239" s="81" t="s">
        <v>114</v>
      </c>
      <c r="F239" s="81" t="s">
        <v>126</v>
      </c>
      <c r="G239" s="64"/>
      <c r="H239" s="81" t="s">
        <v>185</v>
      </c>
      <c r="I239" s="81" t="s">
        <v>1376</v>
      </c>
      <c r="J239" s="76"/>
      <c r="K239" s="77"/>
      <c r="L239" s="77"/>
      <c r="M239" s="54"/>
      <c r="N239" s="54"/>
      <c r="O239" s="54"/>
      <c r="P239" s="54"/>
      <c r="Q239" s="54"/>
      <c r="R239"/>
    </row>
    <row r="240" spans="1:18" s="57" customFormat="1">
      <c r="A240" s="81" t="s">
        <v>186</v>
      </c>
      <c r="B240" s="82">
        <f>(0.12*1000)/4259200</f>
        <v>2.8174305033809167E-5</v>
      </c>
      <c r="C240" t="s">
        <v>172</v>
      </c>
      <c r="D240" s="81"/>
      <c r="E240" s="81" t="s">
        <v>114</v>
      </c>
      <c r="F240" s="81" t="s">
        <v>126</v>
      </c>
      <c r="G240" s="64"/>
      <c r="H240" s="81" t="s">
        <v>185</v>
      </c>
      <c r="I240" s="81" t="s">
        <v>1376</v>
      </c>
      <c r="J240" s="83"/>
      <c r="K240" s="70"/>
      <c r="L240" s="70"/>
      <c r="M240" s="62"/>
      <c r="N240" s="62"/>
      <c r="O240" s="62"/>
      <c r="P240" s="62"/>
    </row>
    <row r="241" spans="1:20" s="57" customFormat="1">
      <c r="A241" s="83"/>
      <c r="B241" s="85"/>
      <c r="C241" s="85"/>
      <c r="D241" s="83"/>
      <c r="E241" s="83"/>
      <c r="F241" s="83"/>
      <c r="G241" s="83"/>
      <c r="H241" s="83"/>
      <c r="I241" s="83"/>
      <c r="J241" s="64"/>
      <c r="K241" s="70"/>
      <c r="L241" s="70"/>
      <c r="M241" s="62"/>
      <c r="N241" s="62"/>
      <c r="O241" s="62"/>
      <c r="P241" s="62"/>
    </row>
    <row r="242" spans="1:20" s="57" customFormat="1">
      <c r="A242" s="67" t="s">
        <v>0</v>
      </c>
      <c r="B242" s="68" t="s">
        <v>1399</v>
      </c>
      <c r="C242" s="68"/>
      <c r="D242" s="64"/>
      <c r="E242" s="64"/>
      <c r="F242" s="64"/>
      <c r="G242" s="64"/>
      <c r="H242" s="64"/>
      <c r="I242" s="64"/>
      <c r="J242" s="64"/>
      <c r="K242" s="70"/>
      <c r="L242" s="70"/>
      <c r="M242" s="62"/>
      <c r="N242" s="62"/>
      <c r="O242" s="62"/>
      <c r="P242" s="62"/>
    </row>
    <row r="243" spans="1:20" s="57" customFormat="1">
      <c r="A243" s="71" t="s">
        <v>2</v>
      </c>
      <c r="B243" s="72">
        <v>1</v>
      </c>
      <c r="C243" s="72"/>
      <c r="D243" s="64"/>
      <c r="E243" s="64"/>
      <c r="F243" s="64"/>
      <c r="G243" s="64"/>
      <c r="H243" s="64"/>
      <c r="I243" s="64"/>
      <c r="J243" s="64"/>
      <c r="K243" s="70"/>
      <c r="L243" s="70"/>
      <c r="M243" s="62"/>
      <c r="N243" s="62"/>
      <c r="O243" s="62"/>
      <c r="P243" s="62"/>
    </row>
    <row r="244" spans="1:20" s="57" customFormat="1">
      <c r="A244" s="71" t="s">
        <v>13</v>
      </c>
      <c r="B244" s="72" t="s">
        <v>1389</v>
      </c>
      <c r="C244" s="72"/>
      <c r="D244" s="64"/>
      <c r="E244" s="64"/>
      <c r="F244" s="64"/>
      <c r="G244" s="64"/>
      <c r="H244" s="64"/>
      <c r="I244" s="64"/>
      <c r="J244" s="64"/>
      <c r="K244" s="70"/>
      <c r="L244" s="70"/>
      <c r="M244" s="62"/>
      <c r="N244" s="62"/>
      <c r="O244" s="62"/>
      <c r="P244" s="62"/>
    </row>
    <row r="245" spans="1:20" s="57" customFormat="1">
      <c r="A245" s="71" t="s">
        <v>3</v>
      </c>
      <c r="B245" s="74" t="s">
        <v>1399</v>
      </c>
      <c r="C245" s="74"/>
      <c r="D245" s="64"/>
      <c r="E245" s="64"/>
      <c r="F245" s="64"/>
      <c r="G245" s="64"/>
      <c r="H245" s="64"/>
      <c r="I245" s="64"/>
      <c r="J245" s="64"/>
      <c r="K245" s="70"/>
      <c r="L245" s="70"/>
      <c r="M245" s="62"/>
      <c r="N245" s="62"/>
      <c r="O245" s="62"/>
      <c r="P245" s="62"/>
    </row>
    <row r="246" spans="1:20" s="57" customFormat="1">
      <c r="A246" s="71" t="s">
        <v>1</v>
      </c>
      <c r="B246" s="72" t="s">
        <v>20</v>
      </c>
      <c r="C246" s="72"/>
      <c r="D246" s="64"/>
      <c r="E246" s="64"/>
      <c r="F246" s="64"/>
      <c r="G246" s="64"/>
      <c r="H246" s="64"/>
      <c r="I246" s="64"/>
      <c r="J246" s="64"/>
      <c r="K246" s="70"/>
      <c r="L246" s="70"/>
      <c r="M246" s="62"/>
      <c r="N246" s="62"/>
      <c r="O246" s="62"/>
      <c r="P246" s="62"/>
    </row>
    <row r="247" spans="1:20" s="57" customFormat="1">
      <c r="A247" s="71" t="s">
        <v>7</v>
      </c>
      <c r="B247" s="74" t="s">
        <v>7</v>
      </c>
      <c r="C247" s="74"/>
      <c r="D247" s="64"/>
      <c r="E247" s="64"/>
      <c r="F247" s="64"/>
      <c r="G247" s="64"/>
      <c r="H247" s="64"/>
      <c r="I247" s="64"/>
      <c r="J247" s="75"/>
      <c r="K247" s="70"/>
      <c r="L247" s="70"/>
      <c r="M247" s="62"/>
      <c r="N247" s="62"/>
      <c r="O247" s="62"/>
      <c r="P247" s="62"/>
    </row>
    <row r="248" spans="1:20" s="57" customFormat="1">
      <c r="A248" s="75" t="s">
        <v>14</v>
      </c>
      <c r="B248" s="68"/>
      <c r="C248" s="68"/>
      <c r="D248" s="75"/>
      <c r="E248" s="75"/>
      <c r="F248" s="75"/>
      <c r="G248" s="75"/>
      <c r="H248" s="75"/>
      <c r="I248" s="75"/>
      <c r="J248" s="1"/>
      <c r="K248" s="63"/>
      <c r="L248" s="63"/>
      <c r="M248" s="63"/>
      <c r="N248" s="63"/>
      <c r="O248" s="63"/>
      <c r="P248" s="63"/>
      <c r="Q248" s="1"/>
      <c r="R248" s="1"/>
      <c r="S248" s="45"/>
      <c r="T248" s="1"/>
    </row>
    <row r="249" spans="1:20" s="57" customFormat="1">
      <c r="A249" s="75" t="s">
        <v>15</v>
      </c>
      <c r="B249" s="68" t="s">
        <v>16</v>
      </c>
      <c r="C249" s="68" t="s">
        <v>17</v>
      </c>
      <c r="D249" s="75" t="s">
        <v>1</v>
      </c>
      <c r="E249" s="75" t="s">
        <v>7</v>
      </c>
      <c r="F249" s="75" t="s">
        <v>5</v>
      </c>
      <c r="G249" s="75" t="s">
        <v>3</v>
      </c>
      <c r="H249" s="84" t="s">
        <v>18</v>
      </c>
      <c r="I249" s="84" t="s">
        <v>13</v>
      </c>
      <c r="J249" s="64"/>
      <c r="K249" s="70"/>
      <c r="L249" s="70"/>
      <c r="M249" s="62"/>
      <c r="N249" s="62"/>
      <c r="O249" s="62"/>
      <c r="P249" s="62"/>
    </row>
    <row r="250" spans="1:20" s="57" customFormat="1">
      <c r="A250" s="74" t="str">
        <f>B242</f>
        <v>electrolyzer, AE, Stack</v>
      </c>
      <c r="B250" s="74">
        <v>1</v>
      </c>
      <c r="C250" s="74" t="s">
        <v>1413</v>
      </c>
      <c r="D250" s="64" t="s">
        <v>20</v>
      </c>
      <c r="E250" s="64" t="str">
        <f>B247</f>
        <v>unit</v>
      </c>
      <c r="F250" s="64" t="s">
        <v>24</v>
      </c>
      <c r="G250" s="74" t="str">
        <f>B245</f>
        <v>electrolyzer, AE, Stack</v>
      </c>
      <c r="H250" s="64"/>
      <c r="I250" s="64"/>
      <c r="J250" s="76"/>
      <c r="K250" s="77"/>
      <c r="L250" s="77"/>
      <c r="M250" s="54"/>
      <c r="N250" s="54"/>
      <c r="O250" s="54"/>
      <c r="P250" s="54"/>
      <c r="Q250"/>
      <c r="R250"/>
    </row>
    <row r="251" spans="1:20" s="57" customFormat="1">
      <c r="A251" s="64" t="s">
        <v>57</v>
      </c>
      <c r="B251" s="70">
        <v>144.19999999999999</v>
      </c>
      <c r="C251" t="s">
        <v>1367</v>
      </c>
      <c r="D251" s="64" t="s">
        <v>34</v>
      </c>
      <c r="E251" s="64" t="s">
        <v>38</v>
      </c>
      <c r="F251" s="64" t="s">
        <v>26</v>
      </c>
      <c r="G251" s="64" t="s">
        <v>58</v>
      </c>
      <c r="H251" s="64"/>
      <c r="I251" s="64" t="s">
        <v>1331</v>
      </c>
      <c r="J251" s="76"/>
      <c r="K251" s="77"/>
      <c r="L251" s="77"/>
      <c r="M251" s="54"/>
      <c r="N251" s="54"/>
      <c r="O251" s="54"/>
      <c r="P251" s="54"/>
      <c r="Q251"/>
      <c r="R251"/>
    </row>
    <row r="252" spans="1:20" s="57" customFormat="1">
      <c r="A252" s="64" t="s">
        <v>1021</v>
      </c>
      <c r="B252" s="70">
        <v>20194.400000000001</v>
      </c>
      <c r="C252" t="s">
        <v>1367</v>
      </c>
      <c r="D252" s="64" t="s">
        <v>34</v>
      </c>
      <c r="E252" s="64" t="s">
        <v>38</v>
      </c>
      <c r="F252" s="64" t="s">
        <v>26</v>
      </c>
      <c r="G252" s="64" t="s">
        <v>1022</v>
      </c>
      <c r="H252" s="64"/>
      <c r="I252" s="64" t="s">
        <v>1377</v>
      </c>
      <c r="J252" s="76"/>
      <c r="K252" s="77"/>
      <c r="L252" s="77"/>
      <c r="M252" s="54"/>
      <c r="N252" s="54"/>
      <c r="O252" s="54"/>
      <c r="P252" s="54"/>
      <c r="Q252"/>
      <c r="R252"/>
    </row>
    <row r="253" spans="1:20" s="57" customFormat="1">
      <c r="A253" s="64" t="s">
        <v>71</v>
      </c>
      <c r="B253" s="70">
        <v>20194.400000000001</v>
      </c>
      <c r="C253" t="s">
        <v>1367</v>
      </c>
      <c r="D253" s="64" t="s">
        <v>34</v>
      </c>
      <c r="E253" s="64" t="s">
        <v>38</v>
      </c>
      <c r="F253" s="64" t="s">
        <v>26</v>
      </c>
      <c r="G253" s="64" t="s">
        <v>72</v>
      </c>
      <c r="H253" s="64"/>
      <c r="I253" s="64" t="s">
        <v>1377</v>
      </c>
      <c r="J253" s="76"/>
      <c r="K253" s="77"/>
      <c r="L253" s="77"/>
      <c r="M253" s="54"/>
      <c r="N253" s="54"/>
      <c r="O253" s="54"/>
      <c r="P253" s="54"/>
      <c r="Q253"/>
      <c r="R253"/>
    </row>
    <row r="254" spans="1:20" s="57" customFormat="1">
      <c r="A254" s="64" t="s">
        <v>465</v>
      </c>
      <c r="B254" s="70">
        <v>2884.9</v>
      </c>
      <c r="C254" t="s">
        <v>1367</v>
      </c>
      <c r="D254" s="64" t="s">
        <v>34</v>
      </c>
      <c r="E254" s="64" t="s">
        <v>38</v>
      </c>
      <c r="F254" s="64" t="s">
        <v>26</v>
      </c>
      <c r="G254" s="64" t="s">
        <v>466</v>
      </c>
      <c r="H254" s="64"/>
      <c r="I254" s="64" t="s">
        <v>1377</v>
      </c>
      <c r="J254" s="76"/>
      <c r="K254" s="77"/>
      <c r="L254" s="77"/>
      <c r="M254" s="54"/>
      <c r="N254" s="54"/>
      <c r="O254" s="54"/>
      <c r="P254" s="54"/>
      <c r="Q254"/>
      <c r="R254"/>
    </row>
    <row r="255" spans="1:20" s="57" customFormat="1">
      <c r="A255" s="64" t="s">
        <v>1034</v>
      </c>
      <c r="B255" s="70">
        <v>48.8</v>
      </c>
      <c r="C255" t="s">
        <v>1367</v>
      </c>
      <c r="D255" s="64" t="s">
        <v>34</v>
      </c>
      <c r="E255" s="64" t="s">
        <v>38</v>
      </c>
      <c r="F255" s="64" t="s">
        <v>26</v>
      </c>
      <c r="G255" s="69" t="s">
        <v>1035</v>
      </c>
      <c r="H255" s="69"/>
      <c r="I255" s="64" t="s">
        <v>1378</v>
      </c>
      <c r="J255" s="76"/>
      <c r="K255" s="77"/>
      <c r="L255" s="77"/>
      <c r="M255" s="54"/>
      <c r="N255" s="54"/>
      <c r="O255" s="54"/>
      <c r="P255" s="54"/>
      <c r="Q255"/>
      <c r="R255"/>
    </row>
    <row r="256" spans="1:20" s="57" customFormat="1">
      <c r="A256" s="64" t="s">
        <v>1036</v>
      </c>
      <c r="B256" s="70">
        <v>73</v>
      </c>
      <c r="C256" t="s">
        <v>1367</v>
      </c>
      <c r="D256" s="64" t="s">
        <v>34</v>
      </c>
      <c r="E256" s="64" t="s">
        <v>38</v>
      </c>
      <c r="F256" s="64" t="s">
        <v>26</v>
      </c>
      <c r="G256" s="69" t="s">
        <v>1037</v>
      </c>
      <c r="H256" s="69"/>
      <c r="I256" s="64" t="s">
        <v>1378</v>
      </c>
      <c r="J256" s="76"/>
      <c r="K256" s="77"/>
      <c r="L256" s="77"/>
      <c r="M256" s="54"/>
      <c r="N256" s="54"/>
      <c r="O256" s="54"/>
      <c r="P256" s="54"/>
      <c r="Q256"/>
      <c r="R256"/>
    </row>
    <row r="257" spans="1:20" s="57" customFormat="1">
      <c r="A257" s="64" t="s">
        <v>25</v>
      </c>
      <c r="B257" s="70">
        <v>95553.31568</v>
      </c>
      <c r="C257" t="s">
        <v>1367</v>
      </c>
      <c r="D257" s="64" t="s">
        <v>20</v>
      </c>
      <c r="E257" s="64" t="s">
        <v>8</v>
      </c>
      <c r="F257" s="64" t="s">
        <v>26</v>
      </c>
      <c r="G257" s="69" t="s">
        <v>4</v>
      </c>
      <c r="H257" s="69"/>
      <c r="I257" s="64" t="s">
        <v>1332</v>
      </c>
      <c r="J257" s="83"/>
      <c r="K257" s="70"/>
      <c r="L257" s="70"/>
      <c r="M257" s="62"/>
      <c r="N257" s="62"/>
      <c r="O257" s="62"/>
      <c r="P257" s="62"/>
    </row>
    <row r="258" spans="1:20" s="57" customFormat="1">
      <c r="A258" s="83"/>
      <c r="B258" s="85"/>
      <c r="C258" s="85"/>
      <c r="D258" s="83"/>
      <c r="E258" s="83"/>
      <c r="F258" s="92"/>
      <c r="G258" s="92"/>
      <c r="H258" s="83"/>
      <c r="I258" s="83"/>
      <c r="J258" s="64"/>
      <c r="K258" s="70"/>
      <c r="L258" s="70"/>
      <c r="M258" s="62"/>
      <c r="N258" s="62"/>
      <c r="O258" s="62"/>
      <c r="P258" s="62"/>
    </row>
    <row r="259" spans="1:20" s="57" customFormat="1">
      <c r="A259" s="67" t="s">
        <v>0</v>
      </c>
      <c r="B259" s="68" t="s">
        <v>1370</v>
      </c>
      <c r="C259" s="68"/>
      <c r="D259" s="64"/>
      <c r="E259" s="64"/>
      <c r="F259" s="64"/>
      <c r="G259" s="64"/>
      <c r="H259" s="64"/>
      <c r="I259" s="64"/>
      <c r="J259" s="64"/>
      <c r="K259" s="70"/>
      <c r="L259" s="70"/>
      <c r="M259" s="62"/>
      <c r="N259" s="62"/>
      <c r="O259" s="62"/>
      <c r="P259" s="62"/>
    </row>
    <row r="260" spans="1:20" s="57" customFormat="1">
      <c r="A260" s="71" t="s">
        <v>2</v>
      </c>
      <c r="B260" s="72">
        <v>1</v>
      </c>
      <c r="C260" s="72"/>
      <c r="D260" s="64"/>
      <c r="E260" s="64"/>
      <c r="F260" s="64"/>
      <c r="G260" s="64"/>
      <c r="H260" s="64"/>
      <c r="I260" s="64"/>
      <c r="J260" s="64"/>
      <c r="K260" s="70"/>
      <c r="L260" s="70"/>
      <c r="M260" s="62"/>
      <c r="N260" s="62"/>
      <c r="O260" s="62"/>
      <c r="P260" s="62"/>
    </row>
    <row r="261" spans="1:20" s="57" customFormat="1">
      <c r="A261" s="71" t="s">
        <v>13</v>
      </c>
      <c r="B261" s="72" t="s">
        <v>1387</v>
      </c>
      <c r="C261" s="72"/>
      <c r="D261" s="64"/>
      <c r="E261" s="64"/>
      <c r="F261" s="64"/>
      <c r="G261" s="64"/>
      <c r="H261" s="64"/>
      <c r="I261" s="64"/>
      <c r="J261" s="64"/>
      <c r="K261" s="70"/>
      <c r="L261" s="70"/>
      <c r="M261" s="62"/>
      <c r="N261" s="62"/>
      <c r="O261" s="62"/>
      <c r="P261" s="62"/>
    </row>
    <row r="262" spans="1:20" s="57" customFormat="1">
      <c r="A262" s="71" t="s">
        <v>3</v>
      </c>
      <c r="B262" s="74" t="s">
        <v>1371</v>
      </c>
      <c r="C262" s="74"/>
      <c r="D262" s="64"/>
      <c r="E262" s="64"/>
      <c r="F262" s="64"/>
      <c r="G262" s="64"/>
      <c r="H262" s="64"/>
      <c r="I262" s="64"/>
      <c r="J262" s="64"/>
      <c r="K262" s="70"/>
      <c r="L262" s="70"/>
      <c r="M262" s="62"/>
      <c r="N262" s="62"/>
      <c r="O262" s="62"/>
      <c r="P262" s="62"/>
    </row>
    <row r="263" spans="1:20" s="57" customFormat="1">
      <c r="A263" s="71" t="s">
        <v>1</v>
      </c>
      <c r="B263" s="72" t="s">
        <v>20</v>
      </c>
      <c r="C263" s="72"/>
      <c r="D263" s="64"/>
      <c r="E263" s="64"/>
      <c r="F263" s="64"/>
      <c r="G263" s="64"/>
      <c r="H263" s="64"/>
      <c r="I263" s="64"/>
      <c r="J263" s="64"/>
      <c r="K263" s="70"/>
      <c r="L263" s="70"/>
      <c r="M263" s="62"/>
      <c r="N263" s="62"/>
      <c r="O263" s="62"/>
      <c r="P263" s="62"/>
    </row>
    <row r="264" spans="1:20" s="57" customFormat="1">
      <c r="A264" s="71" t="s">
        <v>7</v>
      </c>
      <c r="B264" s="74" t="s">
        <v>7</v>
      </c>
      <c r="C264" s="74"/>
      <c r="D264" s="64"/>
      <c r="E264" s="64"/>
      <c r="F264" s="64"/>
      <c r="G264" s="64"/>
      <c r="H264" s="64"/>
      <c r="I264" s="64"/>
      <c r="J264" s="75"/>
      <c r="K264" s="70"/>
      <c r="L264" s="70"/>
      <c r="M264" s="62"/>
      <c r="N264" s="62"/>
      <c r="O264" s="62"/>
      <c r="P264" s="62"/>
    </row>
    <row r="265" spans="1:20" s="57" customFormat="1">
      <c r="A265" s="75" t="s">
        <v>14</v>
      </c>
      <c r="B265" s="68"/>
      <c r="C265" s="68"/>
      <c r="D265" s="75"/>
      <c r="E265" s="75"/>
      <c r="F265" s="75"/>
      <c r="G265" s="75"/>
      <c r="H265" s="75"/>
      <c r="I265" s="75"/>
      <c r="J265" s="1"/>
      <c r="K265" s="63"/>
      <c r="L265" s="63"/>
      <c r="M265" s="63"/>
      <c r="N265" s="63"/>
      <c r="O265" s="63"/>
      <c r="P265" s="63"/>
      <c r="Q265" s="1"/>
      <c r="R265" s="1"/>
      <c r="S265" s="45"/>
      <c r="T265" s="1"/>
    </row>
    <row r="266" spans="1:20" s="57" customFormat="1">
      <c r="A266" s="75" t="s">
        <v>15</v>
      </c>
      <c r="B266" s="68" t="s">
        <v>16</v>
      </c>
      <c r="C266" s="68" t="s">
        <v>17</v>
      </c>
      <c r="D266" s="75" t="s">
        <v>1</v>
      </c>
      <c r="E266" s="75" t="s">
        <v>7</v>
      </c>
      <c r="F266" s="75" t="s">
        <v>5</v>
      </c>
      <c r="G266" s="75" t="s">
        <v>3</v>
      </c>
      <c r="H266" s="84" t="s">
        <v>18</v>
      </c>
      <c r="I266" s="84" t="s">
        <v>13</v>
      </c>
      <c r="J266" s="64"/>
      <c r="K266" s="70"/>
      <c r="L266" s="70"/>
      <c r="M266" s="62"/>
      <c r="N266" s="62"/>
      <c r="O266" s="62"/>
      <c r="P266" s="62"/>
    </row>
    <row r="267" spans="1:20" s="57" customFormat="1">
      <c r="A267" s="74" t="str">
        <f>B259</f>
        <v>treatment of electrolyzer stack, 1MWe, AEC</v>
      </c>
      <c r="B267" s="70">
        <v>-1</v>
      </c>
      <c r="C267" t="s">
        <v>1413</v>
      </c>
      <c r="D267" s="64" t="s">
        <v>20</v>
      </c>
      <c r="E267" s="64" t="str">
        <f>B264</f>
        <v>unit</v>
      </c>
      <c r="F267" s="64" t="s">
        <v>24</v>
      </c>
      <c r="G267" s="64" t="str">
        <f>B262</f>
        <v>used electrolyzer stack, 1MWe, AEC</v>
      </c>
      <c r="H267" s="64"/>
      <c r="I267" s="64"/>
      <c r="J267" s="76"/>
      <c r="K267" s="77"/>
      <c r="L267" s="77"/>
      <c r="M267" s="54"/>
      <c r="N267" s="54"/>
      <c r="O267" s="54"/>
      <c r="P267" s="54"/>
      <c r="Q267"/>
      <c r="R267"/>
    </row>
    <row r="268" spans="1:20" s="57" customFormat="1">
      <c r="A268" s="74" t="s">
        <v>1273</v>
      </c>
      <c r="B268" s="64">
        <f>-1*B253</f>
        <v>-20194.400000000001</v>
      </c>
      <c r="C268" t="s">
        <v>1367</v>
      </c>
      <c r="D268" s="64" t="s">
        <v>169</v>
      </c>
      <c r="E268" s="64" t="s">
        <v>38</v>
      </c>
      <c r="F268" s="64" t="s">
        <v>26</v>
      </c>
      <c r="G268" s="64" t="s">
        <v>1272</v>
      </c>
      <c r="H268" s="64"/>
      <c r="I268" s="64"/>
      <c r="J268" s="76"/>
      <c r="K268" s="77"/>
      <c r="L268" s="77"/>
      <c r="M268" s="54"/>
      <c r="N268" s="54"/>
      <c r="O268" s="54"/>
      <c r="P268" s="54"/>
      <c r="Q268"/>
      <c r="R268"/>
    </row>
    <row r="269" spans="1:20" s="57" customFormat="1">
      <c r="A269" s="64" t="s">
        <v>1333</v>
      </c>
      <c r="B269" s="64">
        <f>-1*SUM(B251,B255)</f>
        <v>-193</v>
      </c>
      <c r="C269" t="s">
        <v>1367</v>
      </c>
      <c r="D269" s="64" t="s">
        <v>194</v>
      </c>
      <c r="E269" s="64" t="s">
        <v>38</v>
      </c>
      <c r="F269" s="64" t="s">
        <v>26</v>
      </c>
      <c r="G269" s="64" t="s">
        <v>620</v>
      </c>
      <c r="H269" s="64"/>
      <c r="I269" s="64"/>
      <c r="J269" s="83"/>
      <c r="K269" s="70"/>
      <c r="L269" s="70"/>
      <c r="M269" s="62"/>
      <c r="N269" s="62"/>
      <c r="O269" s="62"/>
      <c r="P269" s="62"/>
    </row>
    <row r="270" spans="1:20" s="57" customFormat="1">
      <c r="A270" s="83"/>
      <c r="B270" s="85"/>
      <c r="C270" s="85"/>
      <c r="D270" s="83"/>
      <c r="E270" s="83"/>
      <c r="F270" s="83"/>
      <c r="G270" s="83"/>
      <c r="H270" s="83"/>
      <c r="I270" s="83"/>
      <c r="J270" s="64"/>
      <c r="K270" s="86"/>
      <c r="L270" s="87"/>
      <c r="M270" s="62"/>
      <c r="N270" s="62"/>
      <c r="O270" s="62"/>
      <c r="P270" s="62"/>
    </row>
    <row r="271" spans="1:20" s="57" customFormat="1">
      <c r="A271" s="67" t="s">
        <v>0</v>
      </c>
      <c r="B271" s="68" t="s">
        <v>1400</v>
      </c>
      <c r="C271" s="68"/>
      <c r="D271" s="64"/>
      <c r="E271" s="64"/>
      <c r="F271"/>
      <c r="G271"/>
      <c r="H271" s="64"/>
      <c r="I271" s="64"/>
      <c r="J271" s="64"/>
      <c r="K271" s="88"/>
      <c r="L271" s="87"/>
      <c r="M271" s="62"/>
      <c r="N271" s="62"/>
      <c r="O271" s="62"/>
      <c r="P271" s="62"/>
    </row>
    <row r="272" spans="1:20" s="57" customFormat="1">
      <c r="A272" s="71" t="s">
        <v>2</v>
      </c>
      <c r="B272" s="72">
        <v>1</v>
      </c>
      <c r="C272" s="72"/>
      <c r="D272" s="64"/>
      <c r="E272" s="64"/>
      <c r="F272"/>
      <c r="G272"/>
      <c r="H272" s="64"/>
      <c r="I272" s="64"/>
      <c r="J272" s="64"/>
      <c r="K272" s="70"/>
      <c r="L272" s="87"/>
      <c r="M272" s="62"/>
      <c r="N272" s="62"/>
      <c r="O272" s="62"/>
      <c r="P272" s="62"/>
    </row>
    <row r="273" spans="1:20" s="57" customFormat="1">
      <c r="A273" s="71" t="s">
        <v>13</v>
      </c>
      <c r="B273" s="72" t="s">
        <v>1390</v>
      </c>
      <c r="C273" s="72"/>
      <c r="D273" s="64"/>
      <c r="E273" s="64"/>
      <c r="F273"/>
      <c r="G273"/>
      <c r="H273" s="64"/>
      <c r="I273" s="64"/>
      <c r="J273" s="64"/>
      <c r="K273" s="70"/>
      <c r="L273" s="70"/>
      <c r="M273" s="62"/>
      <c r="N273" s="62"/>
      <c r="O273" s="62"/>
      <c r="P273" s="62"/>
    </row>
    <row r="274" spans="1:20" s="57" customFormat="1" ht="16.399999999999999" customHeight="1">
      <c r="A274" s="71" t="s">
        <v>3</v>
      </c>
      <c r="B274" s="74" t="s">
        <v>1400</v>
      </c>
      <c r="C274" s="74"/>
      <c r="D274" s="64"/>
      <c r="E274" s="64"/>
      <c r="F274"/>
      <c r="G274"/>
      <c r="H274" s="64"/>
      <c r="I274" s="64"/>
      <c r="J274" s="64"/>
      <c r="K274" s="70"/>
      <c r="L274" s="70"/>
      <c r="M274" s="62"/>
      <c r="N274" s="62"/>
      <c r="O274" s="62"/>
      <c r="P274" s="62"/>
    </row>
    <row r="275" spans="1:20" s="57" customFormat="1">
      <c r="A275" s="71" t="s">
        <v>1</v>
      </c>
      <c r="B275" s="72" t="s">
        <v>20</v>
      </c>
      <c r="C275" s="72"/>
      <c r="D275" s="64"/>
      <c r="E275" s="64"/>
      <c r="F275"/>
      <c r="G275"/>
      <c r="H275" s="64"/>
      <c r="I275" s="64"/>
      <c r="J275" s="64"/>
      <c r="K275" s="70"/>
      <c r="L275" s="70"/>
      <c r="M275" s="62"/>
      <c r="N275" s="62"/>
      <c r="O275" s="62"/>
      <c r="P275" s="62"/>
    </row>
    <row r="276" spans="1:20" s="57" customFormat="1">
      <c r="A276" s="71" t="s">
        <v>7</v>
      </c>
      <c r="B276" s="74" t="s">
        <v>7</v>
      </c>
      <c r="C276" s="74"/>
      <c r="D276" s="64"/>
      <c r="E276" s="64"/>
      <c r="F276"/>
      <c r="G276"/>
      <c r="H276" s="64"/>
      <c r="I276" s="75"/>
      <c r="J276" s="64"/>
      <c r="K276" s="70"/>
      <c r="L276" s="70"/>
      <c r="M276" s="62"/>
      <c r="N276" s="62"/>
      <c r="O276" s="62"/>
      <c r="P276" s="62"/>
    </row>
    <row r="277" spans="1:20" s="57" customFormat="1">
      <c r="A277" s="75" t="s">
        <v>14</v>
      </c>
      <c r="B277" s="68"/>
      <c r="C277" s="68"/>
      <c r="D277" s="75"/>
      <c r="E277" s="75"/>
      <c r="F277" s="75"/>
      <c r="G277" s="75"/>
      <c r="H277" s="75"/>
      <c r="I277" s="69"/>
      <c r="J277" s="1"/>
      <c r="K277" s="63"/>
      <c r="L277" s="63"/>
      <c r="M277" s="63"/>
      <c r="N277" s="63"/>
      <c r="O277" s="63"/>
      <c r="P277" s="63"/>
      <c r="Q277" s="1"/>
      <c r="R277" s="1"/>
      <c r="S277" s="45"/>
      <c r="T277" s="1"/>
    </row>
    <row r="278" spans="1:20" s="57" customFormat="1">
      <c r="A278" s="75" t="s">
        <v>15</v>
      </c>
      <c r="B278" s="68" t="s">
        <v>16</v>
      </c>
      <c r="C278" s="68" t="s">
        <v>17</v>
      </c>
      <c r="D278" s="75" t="s">
        <v>1</v>
      </c>
      <c r="E278" s="75" t="s">
        <v>7</v>
      </c>
      <c r="F278" s="75" t="s">
        <v>5</v>
      </c>
      <c r="G278" s="75" t="s">
        <v>3</v>
      </c>
      <c r="H278" s="84" t="s">
        <v>18</v>
      </c>
      <c r="I278" s="84" t="s">
        <v>13</v>
      </c>
      <c r="J278" s="69"/>
      <c r="K278" s="70"/>
      <c r="L278" s="70"/>
      <c r="M278" s="62"/>
      <c r="N278" s="62"/>
      <c r="O278" s="62"/>
      <c r="P278" s="62"/>
    </row>
    <row r="279" spans="1:20" s="57" customFormat="1">
      <c r="A279" s="74" t="str">
        <f>B271</f>
        <v>electrolyzer, AE, Balance of Plant</v>
      </c>
      <c r="B279" s="74">
        <v>1</v>
      </c>
      <c r="C279" t="s">
        <v>1413</v>
      </c>
      <c r="D279" s="64" t="s">
        <v>20</v>
      </c>
      <c r="E279" s="64" t="s">
        <v>7</v>
      </c>
      <c r="F279" s="64" t="s">
        <v>24</v>
      </c>
      <c r="G279" s="74" t="str">
        <f>B274</f>
        <v>electrolyzer, AE, Balance of Plant</v>
      </c>
      <c r="H279" s="64"/>
      <c r="I279" s="69"/>
      <c r="J279" s="76"/>
      <c r="K279" s="77"/>
      <c r="L279" s="77"/>
      <c r="M279" s="54"/>
      <c r="N279" s="54"/>
      <c r="O279" s="54"/>
      <c r="P279" s="54"/>
      <c r="Q279"/>
      <c r="R279"/>
    </row>
    <row r="280" spans="1:20" s="57" customFormat="1">
      <c r="A280" s="64" t="s">
        <v>44</v>
      </c>
      <c r="B280" s="74">
        <v>100</v>
      </c>
      <c r="C280" t="s">
        <v>1367</v>
      </c>
      <c r="D280" s="64" t="s">
        <v>34</v>
      </c>
      <c r="E280" s="64" t="s">
        <v>38</v>
      </c>
      <c r="F280" s="64" t="s">
        <v>26</v>
      </c>
      <c r="G280" s="64" t="s">
        <v>45</v>
      </c>
      <c r="H280" s="64"/>
      <c r="I280" s="89" t="s">
        <v>1336</v>
      </c>
      <c r="J280" s="76"/>
      <c r="K280" s="77"/>
      <c r="L280" s="77"/>
      <c r="M280" s="54"/>
      <c r="N280" s="54"/>
      <c r="O280" s="54"/>
      <c r="P280" s="54"/>
      <c r="Q280"/>
      <c r="R280"/>
    </row>
    <row r="281" spans="1:20" s="57" customFormat="1">
      <c r="A281" s="64" t="s">
        <v>67</v>
      </c>
      <c r="B281" s="74">
        <v>200</v>
      </c>
      <c r="C281" t="s">
        <v>1367</v>
      </c>
      <c r="D281" s="64" t="s">
        <v>34</v>
      </c>
      <c r="E281" s="64" t="s">
        <v>38</v>
      </c>
      <c r="F281" s="64" t="s">
        <v>26</v>
      </c>
      <c r="G281" s="64" t="s">
        <v>68</v>
      </c>
      <c r="H281" s="64"/>
      <c r="I281" s="89" t="s">
        <v>1336</v>
      </c>
      <c r="J281" s="76"/>
      <c r="K281" s="77"/>
      <c r="L281" s="77"/>
      <c r="M281" s="54"/>
      <c r="N281" s="54"/>
      <c r="O281" s="54"/>
      <c r="P281" s="54"/>
      <c r="Q281"/>
      <c r="R281"/>
    </row>
    <row r="282" spans="1:20" s="57" customFormat="1">
      <c r="A282" s="64" t="s">
        <v>293</v>
      </c>
      <c r="B282" s="74">
        <v>600</v>
      </c>
      <c r="C282" t="s">
        <v>1367</v>
      </c>
      <c r="D282" s="64" t="s">
        <v>34</v>
      </c>
      <c r="E282" s="64" t="s">
        <v>38</v>
      </c>
      <c r="F282" s="64" t="s">
        <v>26</v>
      </c>
      <c r="G282" s="64" t="s">
        <v>189</v>
      </c>
      <c r="H282" s="64"/>
      <c r="I282" s="89" t="s">
        <v>1336</v>
      </c>
      <c r="J282" s="76"/>
      <c r="K282" s="77"/>
      <c r="L282" s="77"/>
      <c r="M282" s="54"/>
      <c r="N282" s="54"/>
      <c r="O282" s="54"/>
      <c r="P282" s="54"/>
      <c r="Q282"/>
      <c r="R282"/>
    </row>
    <row r="283" spans="1:20" s="57" customFormat="1">
      <c r="A283" s="64" t="s">
        <v>1018</v>
      </c>
      <c r="B283" s="74">
        <v>100</v>
      </c>
      <c r="C283" t="s">
        <v>1367</v>
      </c>
      <c r="D283" s="64" t="s">
        <v>34</v>
      </c>
      <c r="E283" s="64" t="s">
        <v>38</v>
      </c>
      <c r="F283" s="64" t="s">
        <v>26</v>
      </c>
      <c r="G283" s="64" t="s">
        <v>190</v>
      </c>
      <c r="H283" s="64"/>
      <c r="I283" s="89" t="s">
        <v>1336</v>
      </c>
      <c r="J283" s="76"/>
      <c r="K283" s="77"/>
      <c r="L283" s="77"/>
      <c r="M283" s="54"/>
      <c r="N283" s="54"/>
      <c r="O283" s="54"/>
      <c r="P283" s="54"/>
      <c r="Q283"/>
      <c r="R283"/>
    </row>
    <row r="284" spans="1:20" s="57" customFormat="1">
      <c r="A284" s="64" t="s">
        <v>1023</v>
      </c>
      <c r="B284" s="74">
        <v>600</v>
      </c>
      <c r="C284" t="s">
        <v>1367</v>
      </c>
      <c r="D284" s="64" t="s">
        <v>34</v>
      </c>
      <c r="E284" s="64" t="s">
        <v>38</v>
      </c>
      <c r="F284" s="64" t="s">
        <v>26</v>
      </c>
      <c r="G284" s="64" t="s">
        <v>191</v>
      </c>
      <c r="H284" s="64"/>
      <c r="I284" s="89" t="s">
        <v>1336</v>
      </c>
      <c r="J284" s="76"/>
      <c r="K284" s="77"/>
      <c r="L284" s="77"/>
      <c r="M284" s="54"/>
      <c r="N284" s="54"/>
      <c r="O284" s="54"/>
      <c r="P284" s="54"/>
      <c r="Q284"/>
      <c r="R284"/>
    </row>
    <row r="285" spans="1:20" s="57" customFormat="1">
      <c r="A285" s="64" t="s">
        <v>1024</v>
      </c>
      <c r="B285" s="74">
        <v>100</v>
      </c>
      <c r="C285" t="s">
        <v>1367</v>
      </c>
      <c r="D285" s="64" t="s">
        <v>34</v>
      </c>
      <c r="E285" s="64" t="s">
        <v>38</v>
      </c>
      <c r="F285" s="64" t="s">
        <v>26</v>
      </c>
      <c r="G285" s="64" t="s">
        <v>192</v>
      </c>
      <c r="H285" s="64"/>
      <c r="I285" s="89" t="s">
        <v>1336</v>
      </c>
      <c r="J285" s="76"/>
      <c r="K285" s="77"/>
      <c r="L285" s="77"/>
      <c r="M285" s="54"/>
      <c r="N285" s="54"/>
      <c r="O285" s="54"/>
      <c r="P285" s="54"/>
      <c r="Q285"/>
      <c r="R285"/>
    </row>
    <row r="286" spans="1:20" s="57" customFormat="1">
      <c r="A286" s="64" t="s">
        <v>1025</v>
      </c>
      <c r="B286" s="74">
        <v>200</v>
      </c>
      <c r="C286" t="s">
        <v>1367</v>
      </c>
      <c r="D286" s="64" t="s">
        <v>34</v>
      </c>
      <c r="E286" s="64" t="s">
        <v>38</v>
      </c>
      <c r="F286" s="64" t="s">
        <v>26</v>
      </c>
      <c r="G286" s="64" t="s">
        <v>193</v>
      </c>
      <c r="H286" s="64"/>
      <c r="I286" s="89" t="s">
        <v>1336</v>
      </c>
      <c r="J286" s="76"/>
      <c r="K286" s="77"/>
      <c r="L286" s="77"/>
      <c r="M286" s="54"/>
      <c r="N286" s="54"/>
      <c r="O286" s="54"/>
      <c r="P286" s="54"/>
      <c r="Q286"/>
      <c r="R286"/>
    </row>
    <row r="287" spans="1:20" s="57" customFormat="1">
      <c r="A287" s="64" t="s">
        <v>181</v>
      </c>
      <c r="B287" s="74">
        <v>100</v>
      </c>
      <c r="C287" t="s">
        <v>1367</v>
      </c>
      <c r="D287" s="64" t="s">
        <v>34</v>
      </c>
      <c r="E287" s="64" t="s">
        <v>38</v>
      </c>
      <c r="F287" s="64" t="s">
        <v>26</v>
      </c>
      <c r="G287" s="64" t="s">
        <v>182</v>
      </c>
      <c r="H287" s="64"/>
      <c r="I287" s="69" t="s">
        <v>1337</v>
      </c>
      <c r="J287" s="76"/>
      <c r="K287" s="77"/>
      <c r="L287" s="77"/>
      <c r="M287" s="54"/>
      <c r="N287" s="54"/>
      <c r="O287" s="54"/>
      <c r="P287" s="54"/>
      <c r="Q287"/>
      <c r="R287"/>
    </row>
    <row r="288" spans="1:20" s="57" customFormat="1">
      <c r="A288" s="64" t="s">
        <v>731</v>
      </c>
      <c r="B288" s="74">
        <v>464.6</v>
      </c>
      <c r="C288" t="s">
        <v>1367</v>
      </c>
      <c r="D288" s="64" t="s">
        <v>34</v>
      </c>
      <c r="E288" s="64" t="s">
        <v>38</v>
      </c>
      <c r="F288" s="64" t="s">
        <v>26</v>
      </c>
      <c r="G288" s="64" t="s">
        <v>732</v>
      </c>
      <c r="H288" s="64"/>
      <c r="I288" s="69" t="s">
        <v>1379</v>
      </c>
      <c r="J288" s="76"/>
      <c r="K288" s="77"/>
      <c r="L288" s="77"/>
      <c r="M288" s="54"/>
      <c r="N288" s="54"/>
      <c r="O288" s="54"/>
      <c r="P288" s="54"/>
      <c r="Q288"/>
      <c r="R288"/>
    </row>
    <row r="289" spans="1:18" s="57" customFormat="1">
      <c r="A289" s="64" t="s">
        <v>293</v>
      </c>
      <c r="B289" s="74">
        <v>696.8</v>
      </c>
      <c r="C289" t="s">
        <v>1367</v>
      </c>
      <c r="D289" s="64" t="s">
        <v>34</v>
      </c>
      <c r="E289" s="64" t="s">
        <v>38</v>
      </c>
      <c r="F289" s="64" t="s">
        <v>26</v>
      </c>
      <c r="G289" s="64" t="s">
        <v>189</v>
      </c>
      <c r="H289" s="64"/>
      <c r="I289" s="69" t="s">
        <v>1379</v>
      </c>
      <c r="J289" s="76"/>
      <c r="K289" s="77"/>
      <c r="L289" s="77"/>
      <c r="M289" s="54"/>
      <c r="N289" s="54"/>
      <c r="O289" s="54"/>
      <c r="P289" s="54"/>
      <c r="Q289"/>
      <c r="R289"/>
    </row>
    <row r="290" spans="1:18" s="57" customFormat="1">
      <c r="A290" s="64" t="s">
        <v>1023</v>
      </c>
      <c r="B290" s="74">
        <v>696.8</v>
      </c>
      <c r="C290" t="s">
        <v>1367</v>
      </c>
      <c r="D290" s="64" t="s">
        <v>34</v>
      </c>
      <c r="E290" s="64" t="s">
        <v>38</v>
      </c>
      <c r="F290" s="64" t="s">
        <v>26</v>
      </c>
      <c r="G290" s="64" t="s">
        <v>191</v>
      </c>
      <c r="H290" s="64"/>
      <c r="I290" s="69" t="s">
        <v>1379</v>
      </c>
      <c r="J290" s="76"/>
      <c r="K290" s="77"/>
      <c r="L290" s="77"/>
      <c r="M290" s="54"/>
      <c r="N290" s="54"/>
      <c r="O290" s="54"/>
      <c r="P290" s="54"/>
      <c r="Q290"/>
      <c r="R290"/>
    </row>
    <row r="291" spans="1:18" s="57" customFormat="1">
      <c r="A291" s="64" t="s">
        <v>1021</v>
      </c>
      <c r="B291" s="74">
        <v>232.3</v>
      </c>
      <c r="C291" t="s">
        <v>1367</v>
      </c>
      <c r="D291" s="64" t="s">
        <v>34</v>
      </c>
      <c r="E291" s="64" t="s">
        <v>38</v>
      </c>
      <c r="F291" s="64" t="s">
        <v>26</v>
      </c>
      <c r="G291" s="64" t="s">
        <v>1022</v>
      </c>
      <c r="H291" s="64"/>
      <c r="I291" s="69" t="s">
        <v>1379</v>
      </c>
      <c r="J291" s="76"/>
      <c r="K291" s="77"/>
      <c r="L291" s="77"/>
      <c r="M291" s="54"/>
      <c r="N291" s="54"/>
      <c r="O291" s="54"/>
      <c r="P291" s="54"/>
      <c r="Q291"/>
      <c r="R291"/>
    </row>
    <row r="292" spans="1:18" s="57" customFormat="1">
      <c r="A292" s="64" t="s">
        <v>71</v>
      </c>
      <c r="B292" s="74">
        <v>232.3</v>
      </c>
      <c r="C292" t="s">
        <v>1367</v>
      </c>
      <c r="D292" s="64" t="s">
        <v>34</v>
      </c>
      <c r="E292" s="64" t="s">
        <v>38</v>
      </c>
      <c r="F292" s="64" t="s">
        <v>26</v>
      </c>
      <c r="G292" s="64" t="s">
        <v>72</v>
      </c>
      <c r="H292" s="64"/>
      <c r="I292" s="69" t="s">
        <v>1379</v>
      </c>
      <c r="J292" s="76"/>
      <c r="K292" s="77"/>
      <c r="L292" s="77"/>
      <c r="M292" s="54"/>
      <c r="N292" s="54"/>
      <c r="O292" s="54"/>
      <c r="P292" s="54"/>
      <c r="Q292"/>
      <c r="R292"/>
    </row>
    <row r="293" spans="1:18" s="57" customFormat="1">
      <c r="A293" s="64" t="s">
        <v>149</v>
      </c>
      <c r="B293" s="74">
        <v>464.6</v>
      </c>
      <c r="C293" t="s">
        <v>1367</v>
      </c>
      <c r="D293" s="64" t="s">
        <v>20</v>
      </c>
      <c r="E293" s="64" t="s">
        <v>38</v>
      </c>
      <c r="F293" s="64" t="s">
        <v>26</v>
      </c>
      <c r="G293" s="64" t="s">
        <v>149</v>
      </c>
      <c r="H293" s="64"/>
      <c r="I293" s="69" t="s">
        <v>1346</v>
      </c>
      <c r="J293" s="76"/>
      <c r="K293" s="77"/>
      <c r="L293" s="77"/>
      <c r="M293" s="54"/>
      <c r="N293" s="54"/>
      <c r="O293" s="54"/>
      <c r="P293" s="54"/>
      <c r="Q293"/>
      <c r="R293"/>
    </row>
    <row r="294" spans="1:18" s="57" customFormat="1">
      <c r="A294" s="64" t="s">
        <v>1030</v>
      </c>
      <c r="B294" s="74">
        <v>464.6</v>
      </c>
      <c r="C294" t="s">
        <v>1367</v>
      </c>
      <c r="D294" s="64" t="s">
        <v>34</v>
      </c>
      <c r="E294" s="64" t="s">
        <v>38</v>
      </c>
      <c r="F294" s="64" t="s">
        <v>26</v>
      </c>
      <c r="G294" s="64" t="s">
        <v>1031</v>
      </c>
      <c r="H294" s="64"/>
      <c r="I294" s="69" t="s">
        <v>1346</v>
      </c>
      <c r="J294" s="76"/>
      <c r="K294" s="77"/>
      <c r="L294" s="77"/>
      <c r="M294" s="54"/>
      <c r="N294" s="54"/>
      <c r="O294" s="54"/>
      <c r="P294" s="54"/>
      <c r="Q294"/>
      <c r="R294"/>
    </row>
    <row r="295" spans="1:18" s="57" customFormat="1">
      <c r="A295" s="64" t="s">
        <v>293</v>
      </c>
      <c r="B295" s="74">
        <v>232.3</v>
      </c>
      <c r="C295" t="s">
        <v>1367</v>
      </c>
      <c r="D295" s="64" t="s">
        <v>34</v>
      </c>
      <c r="E295" s="64" t="s">
        <v>38</v>
      </c>
      <c r="F295" s="64" t="s">
        <v>26</v>
      </c>
      <c r="G295" s="64" t="s">
        <v>189</v>
      </c>
      <c r="H295" s="64"/>
      <c r="I295" s="69" t="s">
        <v>1346</v>
      </c>
      <c r="J295" s="76"/>
      <c r="K295" s="77"/>
      <c r="L295" s="77"/>
      <c r="M295" s="54"/>
      <c r="N295" s="54"/>
      <c r="O295" s="54"/>
      <c r="P295" s="54"/>
      <c r="Q295"/>
      <c r="R295"/>
    </row>
    <row r="296" spans="1:18" s="57" customFormat="1">
      <c r="A296" s="64" t="s">
        <v>1023</v>
      </c>
      <c r="B296" s="74">
        <v>232.3</v>
      </c>
      <c r="C296" t="s">
        <v>1367</v>
      </c>
      <c r="D296" s="64" t="s">
        <v>34</v>
      </c>
      <c r="E296" s="64" t="s">
        <v>38</v>
      </c>
      <c r="F296" s="64" t="s">
        <v>26</v>
      </c>
      <c r="G296" s="64" t="s">
        <v>191</v>
      </c>
      <c r="H296" s="64"/>
      <c r="I296" s="69" t="s">
        <v>1346</v>
      </c>
      <c r="J296" s="76"/>
      <c r="K296" s="77"/>
      <c r="L296" s="77"/>
      <c r="M296" s="54"/>
      <c r="N296" s="54"/>
      <c r="O296" s="54"/>
      <c r="P296" s="54"/>
      <c r="Q296"/>
      <c r="R296"/>
    </row>
    <row r="297" spans="1:18" s="57" customFormat="1">
      <c r="A297" s="64" t="s">
        <v>44</v>
      </c>
      <c r="B297" s="74">
        <v>60</v>
      </c>
      <c r="C297" t="s">
        <v>1367</v>
      </c>
      <c r="D297" s="64" t="s">
        <v>34</v>
      </c>
      <c r="E297" s="64" t="s">
        <v>38</v>
      </c>
      <c r="F297" s="64" t="s">
        <v>26</v>
      </c>
      <c r="G297" s="64" t="s">
        <v>45</v>
      </c>
      <c r="H297" s="64"/>
      <c r="I297" s="69" t="s">
        <v>1347</v>
      </c>
      <c r="J297" s="76"/>
      <c r="K297" s="77"/>
      <c r="L297" s="77"/>
      <c r="M297" s="54"/>
      <c r="N297" s="54"/>
      <c r="O297" s="54"/>
      <c r="P297" s="54"/>
      <c r="Q297"/>
      <c r="R297"/>
    </row>
    <row r="298" spans="1:18" s="57" customFormat="1">
      <c r="A298" s="64" t="s">
        <v>67</v>
      </c>
      <c r="B298" s="74">
        <v>45</v>
      </c>
      <c r="C298" t="s">
        <v>1367</v>
      </c>
      <c r="D298" s="64" t="s">
        <v>34</v>
      </c>
      <c r="E298" s="64" t="s">
        <v>38</v>
      </c>
      <c r="F298" s="64" t="s">
        <v>26</v>
      </c>
      <c r="G298" s="64" t="s">
        <v>68</v>
      </c>
      <c r="H298" s="64"/>
      <c r="I298" s="69" t="s">
        <v>1347</v>
      </c>
      <c r="J298" s="76"/>
      <c r="K298" s="77"/>
      <c r="L298" s="77"/>
      <c r="M298" s="54"/>
      <c r="N298" s="54"/>
      <c r="O298" s="54"/>
      <c r="P298" s="54"/>
      <c r="Q298"/>
      <c r="R298"/>
    </row>
    <row r="299" spans="1:18" s="57" customFormat="1">
      <c r="A299" s="64" t="s">
        <v>293</v>
      </c>
      <c r="B299" s="74">
        <v>180</v>
      </c>
      <c r="C299" t="s">
        <v>1367</v>
      </c>
      <c r="D299" s="64" t="s">
        <v>34</v>
      </c>
      <c r="E299" s="64" t="s">
        <v>38</v>
      </c>
      <c r="F299" s="64" t="s">
        <v>26</v>
      </c>
      <c r="G299" s="64" t="s">
        <v>189</v>
      </c>
      <c r="H299" s="64"/>
      <c r="I299" s="69" t="s">
        <v>1347</v>
      </c>
      <c r="J299" s="76"/>
      <c r="K299" s="77"/>
      <c r="L299" s="77"/>
      <c r="M299" s="54"/>
      <c r="N299" s="54"/>
      <c r="O299" s="54"/>
      <c r="P299" s="54"/>
      <c r="Q299"/>
      <c r="R299"/>
    </row>
    <row r="300" spans="1:18" s="57" customFormat="1">
      <c r="A300" s="64" t="s">
        <v>1024</v>
      </c>
      <c r="B300" s="74">
        <v>15</v>
      </c>
      <c r="C300" t="s">
        <v>1367</v>
      </c>
      <c r="D300" s="64" t="s">
        <v>34</v>
      </c>
      <c r="E300" s="64" t="s">
        <v>38</v>
      </c>
      <c r="F300" s="64" t="s">
        <v>26</v>
      </c>
      <c r="G300" s="64" t="s">
        <v>192</v>
      </c>
      <c r="H300" s="64"/>
      <c r="I300" s="69" t="s">
        <v>1347</v>
      </c>
      <c r="J300" s="76"/>
      <c r="K300" s="77"/>
      <c r="L300" s="77"/>
      <c r="M300" s="54"/>
      <c r="N300" s="54"/>
      <c r="O300" s="54"/>
      <c r="P300" s="54"/>
      <c r="Q300"/>
      <c r="R300"/>
    </row>
    <row r="301" spans="1:18" s="57" customFormat="1">
      <c r="A301" s="64" t="s">
        <v>1025</v>
      </c>
      <c r="B301" s="74">
        <v>45</v>
      </c>
      <c r="C301" t="s">
        <v>1367</v>
      </c>
      <c r="D301" s="64" t="s">
        <v>34</v>
      </c>
      <c r="E301" s="64" t="s">
        <v>38</v>
      </c>
      <c r="F301" s="64" t="s">
        <v>26</v>
      </c>
      <c r="G301" s="64" t="s">
        <v>193</v>
      </c>
      <c r="H301" s="64"/>
      <c r="I301" s="69" t="s">
        <v>1347</v>
      </c>
      <c r="J301" s="76"/>
      <c r="K301" s="77"/>
      <c r="L301" s="77"/>
      <c r="M301" s="54"/>
      <c r="N301" s="54"/>
      <c r="O301" s="54"/>
      <c r="P301" s="54"/>
      <c r="Q301"/>
      <c r="R301"/>
    </row>
    <row r="302" spans="1:18" s="57" customFormat="1">
      <c r="A302" s="64" t="s">
        <v>253</v>
      </c>
      <c r="B302" s="74">
        <v>600</v>
      </c>
      <c r="C302" t="s">
        <v>1367</v>
      </c>
      <c r="D302" s="64" t="s">
        <v>34</v>
      </c>
      <c r="E302" s="64" t="s">
        <v>38</v>
      </c>
      <c r="F302" s="64" t="s">
        <v>26</v>
      </c>
      <c r="G302" s="64" t="s">
        <v>254</v>
      </c>
      <c r="H302" s="64"/>
      <c r="I302" s="69" t="s">
        <v>1348</v>
      </c>
      <c r="J302" s="76"/>
      <c r="K302" s="77"/>
      <c r="L302" s="77"/>
      <c r="M302" s="54"/>
      <c r="N302" s="54"/>
      <c r="O302" s="54"/>
      <c r="P302" s="54"/>
      <c r="Q302"/>
      <c r="R302"/>
    </row>
    <row r="303" spans="1:18" s="57" customFormat="1">
      <c r="A303" s="64" t="s">
        <v>940</v>
      </c>
      <c r="B303" s="74">
        <v>7</v>
      </c>
      <c r="C303" t="s">
        <v>1367</v>
      </c>
      <c r="D303" s="64" t="s">
        <v>20</v>
      </c>
      <c r="E303" s="64" t="s">
        <v>38</v>
      </c>
      <c r="F303" s="64" t="s">
        <v>26</v>
      </c>
      <c r="G303" s="64" t="s">
        <v>939</v>
      </c>
      <c r="H303" s="64"/>
      <c r="I303" s="69" t="s">
        <v>1348</v>
      </c>
      <c r="J303" s="76"/>
      <c r="K303" s="77"/>
      <c r="L303" s="77"/>
      <c r="M303" s="54"/>
      <c r="N303" s="54"/>
      <c r="O303" s="54"/>
      <c r="P303" s="54"/>
      <c r="Q303"/>
      <c r="R303"/>
    </row>
    <row r="304" spans="1:18" s="57" customFormat="1">
      <c r="A304" s="64" t="s">
        <v>293</v>
      </c>
      <c r="B304" s="74">
        <v>1300</v>
      </c>
      <c r="C304" t="s">
        <v>1367</v>
      </c>
      <c r="D304" s="64" t="s">
        <v>34</v>
      </c>
      <c r="E304" s="64" t="s">
        <v>38</v>
      </c>
      <c r="F304" s="64" t="s">
        <v>26</v>
      </c>
      <c r="G304" s="64" t="s">
        <v>189</v>
      </c>
      <c r="H304" s="64"/>
      <c r="I304" s="69" t="s">
        <v>1348</v>
      </c>
      <c r="J304" s="76"/>
      <c r="K304" s="77"/>
      <c r="L304" s="77"/>
      <c r="M304" s="54"/>
      <c r="N304" s="54"/>
      <c r="O304" s="54"/>
      <c r="P304" s="54"/>
      <c r="Q304"/>
      <c r="R304"/>
    </row>
    <row r="305" spans="1:18" s="57" customFormat="1">
      <c r="A305" s="64" t="s">
        <v>1021</v>
      </c>
      <c r="B305" s="74">
        <v>405</v>
      </c>
      <c r="C305" t="s">
        <v>1367</v>
      </c>
      <c r="D305" s="64" t="s">
        <v>34</v>
      </c>
      <c r="E305" s="64" t="s">
        <v>38</v>
      </c>
      <c r="F305" s="64" t="s">
        <v>26</v>
      </c>
      <c r="G305" s="64" t="s">
        <v>1022</v>
      </c>
      <c r="H305" s="64"/>
      <c r="I305" s="69" t="s">
        <v>1348</v>
      </c>
      <c r="J305" s="76"/>
      <c r="K305" s="77"/>
      <c r="L305" s="77"/>
      <c r="M305" s="54"/>
      <c r="N305" s="54"/>
      <c r="O305" s="54"/>
      <c r="P305" s="54"/>
      <c r="Q305"/>
      <c r="R305"/>
    </row>
    <row r="306" spans="1:18" s="57" customFormat="1">
      <c r="A306" s="64" t="s">
        <v>1023</v>
      </c>
      <c r="B306" s="74">
        <v>400</v>
      </c>
      <c r="C306" t="s">
        <v>1367</v>
      </c>
      <c r="D306" s="64" t="s">
        <v>34</v>
      </c>
      <c r="E306" s="64" t="s">
        <v>38</v>
      </c>
      <c r="F306" s="64" t="s">
        <v>26</v>
      </c>
      <c r="G306" s="64" t="s">
        <v>191</v>
      </c>
      <c r="H306" s="64"/>
      <c r="I306" s="69" t="s">
        <v>1348</v>
      </c>
      <c r="J306" s="76"/>
      <c r="K306" s="77"/>
      <c r="L306" s="77"/>
      <c r="M306" s="54"/>
      <c r="N306" s="54"/>
      <c r="O306" s="54"/>
      <c r="P306" s="54"/>
      <c r="Q306"/>
      <c r="R306"/>
    </row>
    <row r="307" spans="1:18" s="57" customFormat="1">
      <c r="A307" s="64" t="s">
        <v>71</v>
      </c>
      <c r="B307" s="74">
        <v>405</v>
      </c>
      <c r="C307" t="s">
        <v>1367</v>
      </c>
      <c r="D307" s="64" t="s">
        <v>34</v>
      </c>
      <c r="E307" s="64" t="s">
        <v>38</v>
      </c>
      <c r="F307" s="64" t="s">
        <v>26</v>
      </c>
      <c r="G307" s="64" t="s">
        <v>72</v>
      </c>
      <c r="H307" s="64"/>
      <c r="I307" s="69" t="s">
        <v>1348</v>
      </c>
      <c r="J307" s="76"/>
      <c r="K307" s="77"/>
      <c r="L307" s="77"/>
      <c r="M307" s="54"/>
      <c r="N307" s="54"/>
      <c r="O307" s="54"/>
      <c r="P307" s="54"/>
      <c r="Q307"/>
      <c r="R307"/>
    </row>
    <row r="308" spans="1:18" s="57" customFormat="1">
      <c r="A308" s="64" t="s">
        <v>293</v>
      </c>
      <c r="B308" s="74">
        <v>1000</v>
      </c>
      <c r="C308" t="s">
        <v>1367</v>
      </c>
      <c r="D308" s="64" t="s">
        <v>34</v>
      </c>
      <c r="E308" s="64" t="s">
        <v>38</v>
      </c>
      <c r="F308" s="64" t="s">
        <v>26</v>
      </c>
      <c r="G308" s="64" t="s">
        <v>189</v>
      </c>
      <c r="H308" s="64"/>
      <c r="I308" s="69" t="s">
        <v>1349</v>
      </c>
      <c r="J308" s="76"/>
      <c r="K308" s="77"/>
      <c r="L308" s="77"/>
      <c r="M308" s="54"/>
      <c r="N308" s="54"/>
      <c r="O308" s="54"/>
      <c r="P308" s="54"/>
      <c r="Q308"/>
      <c r="R308"/>
    </row>
    <row r="309" spans="1:18" s="57" customFormat="1">
      <c r="A309" s="64" t="s">
        <v>1021</v>
      </c>
      <c r="B309" s="74">
        <v>1500</v>
      </c>
      <c r="C309" t="s">
        <v>1367</v>
      </c>
      <c r="D309" s="64" t="s">
        <v>34</v>
      </c>
      <c r="E309" s="64" t="s">
        <v>38</v>
      </c>
      <c r="F309" s="64" t="s">
        <v>26</v>
      </c>
      <c r="G309" s="64" t="s">
        <v>1022</v>
      </c>
      <c r="H309" s="64"/>
      <c r="I309" s="69" t="s">
        <v>1349</v>
      </c>
      <c r="J309" s="76"/>
      <c r="K309" s="77"/>
      <c r="L309" s="77"/>
      <c r="M309" s="54"/>
      <c r="N309" s="54"/>
      <c r="O309" s="54"/>
      <c r="P309" s="54"/>
      <c r="Q309"/>
      <c r="R309"/>
    </row>
    <row r="310" spans="1:18" s="57" customFormat="1">
      <c r="A310" s="64" t="s">
        <v>1023</v>
      </c>
      <c r="B310" s="74">
        <v>1000</v>
      </c>
      <c r="C310" t="s">
        <v>1367</v>
      </c>
      <c r="D310" s="64" t="s">
        <v>34</v>
      </c>
      <c r="E310" s="64" t="s">
        <v>38</v>
      </c>
      <c r="F310" s="64" t="s">
        <v>26</v>
      </c>
      <c r="G310" s="64" t="s">
        <v>191</v>
      </c>
      <c r="H310" s="64"/>
      <c r="I310" s="69" t="s">
        <v>1349</v>
      </c>
      <c r="J310" s="76"/>
      <c r="K310" s="77"/>
      <c r="L310" s="77"/>
      <c r="M310" s="54"/>
      <c r="N310" s="54"/>
      <c r="O310" s="54"/>
      <c r="P310" s="54"/>
      <c r="Q310"/>
      <c r="R310"/>
    </row>
    <row r="311" spans="1:18" s="57" customFormat="1">
      <c r="A311" s="64" t="s">
        <v>71</v>
      </c>
      <c r="B311" s="74">
        <v>1500</v>
      </c>
      <c r="C311" t="s">
        <v>1367</v>
      </c>
      <c r="D311" s="64" t="s">
        <v>34</v>
      </c>
      <c r="E311" s="64" t="s">
        <v>38</v>
      </c>
      <c r="F311" s="64" t="s">
        <v>26</v>
      </c>
      <c r="G311" s="64" t="s">
        <v>72</v>
      </c>
      <c r="H311" s="64"/>
      <c r="I311" s="69" t="s">
        <v>1349</v>
      </c>
      <c r="J311" s="76"/>
      <c r="K311" s="77"/>
      <c r="L311" s="77"/>
      <c r="M311" s="54"/>
      <c r="N311" s="54"/>
      <c r="O311" s="54"/>
      <c r="P311" s="54"/>
      <c r="Q311"/>
      <c r="R311"/>
    </row>
    <row r="312" spans="1:18" s="57" customFormat="1">
      <c r="A312" s="64" t="s">
        <v>1021</v>
      </c>
      <c r="B312" s="74">
        <v>511</v>
      </c>
      <c r="C312" t="s">
        <v>1367</v>
      </c>
      <c r="D312" s="64" t="s">
        <v>34</v>
      </c>
      <c r="E312" s="64" t="s">
        <v>38</v>
      </c>
      <c r="F312" s="64" t="s">
        <v>26</v>
      </c>
      <c r="G312" s="64" t="s">
        <v>1022</v>
      </c>
      <c r="H312" s="64"/>
      <c r="I312" s="69" t="s">
        <v>1350</v>
      </c>
      <c r="J312" s="76"/>
      <c r="K312" s="77"/>
      <c r="L312" s="77"/>
      <c r="M312" s="54"/>
      <c r="N312" s="54"/>
      <c r="O312" s="54"/>
      <c r="P312" s="54"/>
      <c r="Q312"/>
      <c r="R312"/>
    </row>
    <row r="313" spans="1:18" s="57" customFormat="1">
      <c r="A313" s="64" t="s">
        <v>71</v>
      </c>
      <c r="B313" s="74">
        <v>511</v>
      </c>
      <c r="C313" t="s">
        <v>1367</v>
      </c>
      <c r="D313" s="64" t="s">
        <v>34</v>
      </c>
      <c r="E313" s="64" t="s">
        <v>38</v>
      </c>
      <c r="F313" s="64" t="s">
        <v>26</v>
      </c>
      <c r="G313" s="64" t="s">
        <v>72</v>
      </c>
      <c r="H313" s="64"/>
      <c r="I313" s="69" t="s">
        <v>1350</v>
      </c>
      <c r="J313" s="76"/>
      <c r="K313" s="77"/>
      <c r="L313" s="77"/>
      <c r="M313" s="54"/>
      <c r="N313" s="54"/>
      <c r="O313" s="54"/>
      <c r="P313" s="54"/>
      <c r="Q313"/>
      <c r="R313"/>
    </row>
    <row r="314" spans="1:18" s="57" customFormat="1">
      <c r="A314" s="64" t="s">
        <v>67</v>
      </c>
      <c r="B314" s="74">
        <v>371.7</v>
      </c>
      <c r="C314" t="s">
        <v>1367</v>
      </c>
      <c r="D314" s="64" t="s">
        <v>34</v>
      </c>
      <c r="E314" s="64" t="s">
        <v>38</v>
      </c>
      <c r="F314" s="64" t="s">
        <v>26</v>
      </c>
      <c r="G314" s="64" t="s">
        <v>68</v>
      </c>
      <c r="H314" s="64"/>
      <c r="I314" s="69" t="s">
        <v>1380</v>
      </c>
      <c r="J314" s="76"/>
      <c r="K314" s="77"/>
      <c r="L314" s="77"/>
      <c r="M314" s="54"/>
      <c r="N314" s="54"/>
      <c r="O314" s="54"/>
      <c r="P314" s="54"/>
      <c r="Q314"/>
      <c r="R314"/>
    </row>
    <row r="315" spans="1:18" s="57" customFormat="1">
      <c r="A315" s="64" t="s">
        <v>1025</v>
      </c>
      <c r="B315" s="74">
        <v>371.7</v>
      </c>
      <c r="C315" t="s">
        <v>1367</v>
      </c>
      <c r="D315" s="64" t="s">
        <v>34</v>
      </c>
      <c r="E315" s="64" t="s">
        <v>38</v>
      </c>
      <c r="F315" s="64" t="s">
        <v>26</v>
      </c>
      <c r="G315" s="64" t="s">
        <v>193</v>
      </c>
      <c r="H315" s="64"/>
      <c r="I315" s="69" t="s">
        <v>1380</v>
      </c>
      <c r="J315" s="76"/>
      <c r="K315" s="77"/>
      <c r="L315" s="77"/>
      <c r="M315" s="54"/>
      <c r="N315" s="54"/>
      <c r="O315" s="54"/>
      <c r="P315" s="54"/>
      <c r="Q315"/>
      <c r="R315"/>
    </row>
    <row r="316" spans="1:18" s="57" customFormat="1">
      <c r="A316" s="64" t="s">
        <v>1021</v>
      </c>
      <c r="B316" s="74">
        <v>929.1</v>
      </c>
      <c r="C316" t="s">
        <v>1367</v>
      </c>
      <c r="D316" s="64" t="s">
        <v>34</v>
      </c>
      <c r="E316" s="64" t="s">
        <v>38</v>
      </c>
      <c r="F316" s="64" t="s">
        <v>26</v>
      </c>
      <c r="G316" s="64" t="s">
        <v>1022</v>
      </c>
      <c r="H316" s="64"/>
      <c r="I316" s="69" t="s">
        <v>1380</v>
      </c>
      <c r="J316" s="76"/>
      <c r="K316" s="77"/>
      <c r="L316" s="77"/>
      <c r="M316" s="54"/>
      <c r="N316" s="54"/>
      <c r="O316" s="54"/>
      <c r="P316" s="54"/>
      <c r="Q316"/>
      <c r="R316"/>
    </row>
    <row r="317" spans="1:18" s="57" customFormat="1">
      <c r="A317" s="64" t="s">
        <v>71</v>
      </c>
      <c r="B317" s="74">
        <v>929.1</v>
      </c>
      <c r="C317" t="s">
        <v>1367</v>
      </c>
      <c r="D317" s="64" t="s">
        <v>34</v>
      </c>
      <c r="E317" s="64" t="s">
        <v>38</v>
      </c>
      <c r="F317" s="64" t="s">
        <v>26</v>
      </c>
      <c r="G317" s="64" t="s">
        <v>72</v>
      </c>
      <c r="H317" s="64"/>
      <c r="I317" s="69" t="s">
        <v>1380</v>
      </c>
      <c r="J317" s="76"/>
      <c r="K317" s="77"/>
      <c r="L317" s="77"/>
      <c r="M317" s="54"/>
      <c r="N317" s="54"/>
      <c r="O317" s="54"/>
      <c r="P317" s="54"/>
      <c r="Q317"/>
      <c r="R317"/>
    </row>
    <row r="318" spans="1:18" s="57" customFormat="1">
      <c r="A318" s="64" t="s">
        <v>1024</v>
      </c>
      <c r="B318" s="74">
        <v>92.9</v>
      </c>
      <c r="C318" t="s">
        <v>1367</v>
      </c>
      <c r="D318" s="64" t="s">
        <v>34</v>
      </c>
      <c r="E318" s="64" t="s">
        <v>38</v>
      </c>
      <c r="F318" s="64" t="s">
        <v>26</v>
      </c>
      <c r="G318" s="64" t="s">
        <v>192</v>
      </c>
      <c r="H318" s="64"/>
      <c r="I318" s="69" t="s">
        <v>1380</v>
      </c>
      <c r="J318" s="76"/>
      <c r="K318" s="77"/>
      <c r="L318" s="77"/>
      <c r="M318" s="54"/>
      <c r="N318" s="54"/>
      <c r="O318" s="54"/>
      <c r="P318" s="54"/>
      <c r="Q318"/>
      <c r="R318"/>
    </row>
    <row r="319" spans="1:18" s="57" customFormat="1">
      <c r="A319" s="64" t="s">
        <v>293</v>
      </c>
      <c r="B319" s="74">
        <v>836.2</v>
      </c>
      <c r="C319" t="s">
        <v>1367</v>
      </c>
      <c r="D319" s="64" t="s">
        <v>34</v>
      </c>
      <c r="E319" s="64" t="s">
        <v>38</v>
      </c>
      <c r="F319" s="64" t="s">
        <v>26</v>
      </c>
      <c r="G319" s="64" t="s">
        <v>189</v>
      </c>
      <c r="H319" s="64"/>
      <c r="I319" s="69" t="s">
        <v>1381</v>
      </c>
      <c r="J319" s="76"/>
      <c r="K319" s="77"/>
      <c r="L319" s="77"/>
      <c r="M319" s="54"/>
      <c r="N319" s="54"/>
      <c r="O319" s="54"/>
      <c r="P319" s="54"/>
      <c r="Q319"/>
      <c r="R319"/>
    </row>
    <row r="320" spans="1:18" s="57" customFormat="1">
      <c r="A320" s="64" t="s">
        <v>1023</v>
      </c>
      <c r="B320" s="74">
        <v>836.2</v>
      </c>
      <c r="C320" t="s">
        <v>1367</v>
      </c>
      <c r="D320" s="64" t="s">
        <v>34</v>
      </c>
      <c r="E320" s="64" t="s">
        <v>38</v>
      </c>
      <c r="F320" s="64" t="s">
        <v>26</v>
      </c>
      <c r="G320" s="64" t="s">
        <v>191</v>
      </c>
      <c r="H320" s="64"/>
      <c r="I320" s="69" t="s">
        <v>1381</v>
      </c>
      <c r="J320" s="76"/>
      <c r="K320" s="77"/>
      <c r="L320" s="77"/>
      <c r="M320" s="54"/>
      <c r="N320" s="54"/>
      <c r="O320" s="54"/>
      <c r="P320" s="54"/>
      <c r="Q320"/>
      <c r="R320"/>
    </row>
    <row r="321" spans="1:18" s="57" customFormat="1">
      <c r="A321" s="64" t="s">
        <v>253</v>
      </c>
      <c r="B321" s="74">
        <v>116.1</v>
      </c>
      <c r="C321" t="s">
        <v>1367</v>
      </c>
      <c r="D321" s="64" t="s">
        <v>34</v>
      </c>
      <c r="E321" s="64" t="s">
        <v>38</v>
      </c>
      <c r="F321" s="64" t="s">
        <v>26</v>
      </c>
      <c r="G321" s="64" t="s">
        <v>254</v>
      </c>
      <c r="H321" s="64"/>
      <c r="I321" s="69" t="s">
        <v>1382</v>
      </c>
      <c r="J321" s="76"/>
      <c r="K321" s="77"/>
      <c r="L321" s="77"/>
      <c r="M321" s="54"/>
      <c r="N321" s="54"/>
      <c r="O321" s="54"/>
      <c r="P321" s="54"/>
      <c r="Q321"/>
      <c r="R321"/>
    </row>
    <row r="322" spans="1:18" s="57" customFormat="1">
      <c r="A322" s="64" t="s">
        <v>293</v>
      </c>
      <c r="B322" s="74">
        <v>209.1</v>
      </c>
      <c r="C322" t="s">
        <v>1367</v>
      </c>
      <c r="D322" s="64" t="s">
        <v>34</v>
      </c>
      <c r="E322" s="64" t="s">
        <v>38</v>
      </c>
      <c r="F322" s="64" t="s">
        <v>26</v>
      </c>
      <c r="G322" s="64" t="s">
        <v>189</v>
      </c>
      <c r="H322" s="64"/>
      <c r="I322" s="69" t="s">
        <v>1382</v>
      </c>
      <c r="J322" s="76"/>
      <c r="K322" s="77"/>
      <c r="L322" s="77"/>
      <c r="M322" s="54"/>
      <c r="N322" s="54"/>
      <c r="O322" s="54"/>
      <c r="P322" s="54"/>
      <c r="Q322"/>
      <c r="R322"/>
    </row>
    <row r="323" spans="1:18" s="57" customFormat="1">
      <c r="A323" s="64" t="s">
        <v>1023</v>
      </c>
      <c r="B323" s="74">
        <v>209.1</v>
      </c>
      <c r="C323" t="s">
        <v>1367</v>
      </c>
      <c r="D323" s="64" t="s">
        <v>34</v>
      </c>
      <c r="E323" s="64" t="s">
        <v>38</v>
      </c>
      <c r="F323" s="64" t="s">
        <v>26</v>
      </c>
      <c r="G323" s="64" t="s">
        <v>191</v>
      </c>
      <c r="H323" s="64"/>
      <c r="I323" s="69" t="s">
        <v>1382</v>
      </c>
      <c r="J323" s="76"/>
      <c r="K323" s="77"/>
      <c r="L323" s="77"/>
      <c r="M323" s="54"/>
      <c r="N323" s="54"/>
      <c r="O323" s="54"/>
      <c r="P323" s="54"/>
      <c r="Q323"/>
      <c r="R323"/>
    </row>
    <row r="324" spans="1:18" s="57" customFormat="1">
      <c r="A324" s="64" t="s">
        <v>1021</v>
      </c>
      <c r="B324" s="74">
        <v>1161.4000000000001</v>
      </c>
      <c r="C324" t="s">
        <v>1367</v>
      </c>
      <c r="D324" s="64" t="s">
        <v>34</v>
      </c>
      <c r="E324" s="64" t="s">
        <v>38</v>
      </c>
      <c r="F324" s="64" t="s">
        <v>26</v>
      </c>
      <c r="G324" s="64" t="s">
        <v>1022</v>
      </c>
      <c r="H324" s="64"/>
      <c r="I324" s="69" t="s">
        <v>1345</v>
      </c>
      <c r="J324" s="76"/>
      <c r="K324" s="77"/>
      <c r="L324" s="77"/>
      <c r="M324" s="54"/>
      <c r="N324" s="54"/>
      <c r="O324" s="54"/>
      <c r="P324" s="54"/>
      <c r="Q324"/>
      <c r="R324"/>
    </row>
    <row r="325" spans="1:18" s="57" customFormat="1">
      <c r="A325" s="64" t="s">
        <v>71</v>
      </c>
      <c r="B325" s="74">
        <v>1161.4000000000001</v>
      </c>
      <c r="C325" t="s">
        <v>1367</v>
      </c>
      <c r="D325" s="64" t="s">
        <v>34</v>
      </c>
      <c r="E325" s="64" t="s">
        <v>38</v>
      </c>
      <c r="F325" s="64" t="s">
        <v>26</v>
      </c>
      <c r="G325" s="64" t="s">
        <v>72</v>
      </c>
      <c r="H325" s="64"/>
      <c r="I325" s="69" t="s">
        <v>1345</v>
      </c>
      <c r="J325" s="76"/>
      <c r="K325" s="77"/>
      <c r="L325" s="77"/>
      <c r="M325" s="54"/>
      <c r="N325" s="54"/>
      <c r="O325" s="54"/>
      <c r="P325" s="54"/>
      <c r="Q325"/>
      <c r="R325"/>
    </row>
    <row r="326" spans="1:18" s="57" customFormat="1">
      <c r="A326" s="64" t="s">
        <v>293</v>
      </c>
      <c r="B326" s="74">
        <v>80</v>
      </c>
      <c r="C326" t="s">
        <v>1367</v>
      </c>
      <c r="D326" s="64" t="s">
        <v>34</v>
      </c>
      <c r="E326" s="64" t="s">
        <v>38</v>
      </c>
      <c r="F326" s="64" t="s">
        <v>26</v>
      </c>
      <c r="G326" s="64" t="s">
        <v>189</v>
      </c>
      <c r="H326" s="64"/>
      <c r="I326" s="69" t="s">
        <v>1383</v>
      </c>
      <c r="J326" s="76"/>
      <c r="K326" s="77"/>
      <c r="L326" s="77"/>
      <c r="M326" s="54"/>
      <c r="N326" s="54"/>
      <c r="O326" s="54"/>
      <c r="P326" s="54"/>
      <c r="Q326"/>
      <c r="R326"/>
    </row>
    <row r="327" spans="1:18" s="57" customFormat="1">
      <c r="A327" s="64" t="s">
        <v>1023</v>
      </c>
      <c r="B327" s="74">
        <v>80</v>
      </c>
      <c r="C327" t="s">
        <v>1367</v>
      </c>
      <c r="D327" s="64" t="s">
        <v>34</v>
      </c>
      <c r="E327" s="64" t="s">
        <v>38</v>
      </c>
      <c r="F327" s="64" t="s">
        <v>26</v>
      </c>
      <c r="G327" s="64" t="s">
        <v>191</v>
      </c>
      <c r="H327" s="64"/>
      <c r="I327" s="69" t="s">
        <v>1383</v>
      </c>
      <c r="J327" s="76"/>
      <c r="K327" s="77"/>
      <c r="L327" s="77"/>
      <c r="M327" s="54"/>
      <c r="N327" s="54"/>
      <c r="O327" s="54"/>
      <c r="P327" s="54"/>
      <c r="Q327"/>
      <c r="R327"/>
    </row>
    <row r="328" spans="1:18" s="57" customFormat="1">
      <c r="A328" s="64" t="s">
        <v>1021</v>
      </c>
      <c r="B328" s="74">
        <v>851</v>
      </c>
      <c r="C328" t="s">
        <v>1367</v>
      </c>
      <c r="D328" s="64" t="s">
        <v>34</v>
      </c>
      <c r="E328" s="64" t="s">
        <v>38</v>
      </c>
      <c r="F328" s="64" t="s">
        <v>26</v>
      </c>
      <c r="G328" s="64" t="s">
        <v>1022</v>
      </c>
      <c r="H328" s="64"/>
      <c r="I328" s="69" t="s">
        <v>1384</v>
      </c>
      <c r="J328" s="76"/>
      <c r="K328" s="77"/>
      <c r="L328" s="77"/>
      <c r="M328" s="54"/>
      <c r="N328" s="54"/>
      <c r="O328" s="54"/>
      <c r="P328" s="54"/>
      <c r="Q328"/>
      <c r="R328"/>
    </row>
    <row r="329" spans="1:18" s="57" customFormat="1">
      <c r="A329" s="64" t="s">
        <v>71</v>
      </c>
      <c r="B329" s="74">
        <v>851</v>
      </c>
      <c r="C329" t="s">
        <v>1367</v>
      </c>
      <c r="D329" s="64" t="s">
        <v>34</v>
      </c>
      <c r="E329" s="64" t="s">
        <v>38</v>
      </c>
      <c r="F329" s="64" t="s">
        <v>26</v>
      </c>
      <c r="G329" s="64" t="s">
        <v>72</v>
      </c>
      <c r="H329" s="64"/>
      <c r="I329" s="69" t="s">
        <v>1384</v>
      </c>
      <c r="J329" s="76"/>
      <c r="K329" s="77"/>
      <c r="L329" s="77"/>
      <c r="M329" s="54"/>
      <c r="N329" s="54"/>
      <c r="O329" s="54"/>
      <c r="P329" s="54"/>
      <c r="Q329"/>
      <c r="R329"/>
    </row>
    <row r="330" spans="1:18" s="57" customFormat="1">
      <c r="A330" s="64" t="s">
        <v>80</v>
      </c>
      <c r="B330" s="74">
        <v>3</v>
      </c>
      <c r="C330" t="s">
        <v>1367</v>
      </c>
      <c r="D330" s="64" t="s">
        <v>34</v>
      </c>
      <c r="E330" s="64" t="s">
        <v>38</v>
      </c>
      <c r="F330" s="64" t="s">
        <v>26</v>
      </c>
      <c r="G330" s="64" t="s">
        <v>81</v>
      </c>
      <c r="H330" s="64"/>
      <c r="I330" s="69" t="s">
        <v>1385</v>
      </c>
      <c r="J330" s="76"/>
      <c r="K330" s="77"/>
      <c r="L330" s="77"/>
      <c r="M330" s="54"/>
      <c r="N330" s="54"/>
      <c r="O330" s="54"/>
      <c r="P330" s="54"/>
      <c r="Q330"/>
      <c r="R330"/>
    </row>
    <row r="331" spans="1:18" s="57" customFormat="1">
      <c r="A331" s="64" t="s">
        <v>1026</v>
      </c>
      <c r="B331" s="74">
        <v>3</v>
      </c>
      <c r="C331" t="s">
        <v>1367</v>
      </c>
      <c r="D331" s="64" t="s">
        <v>34</v>
      </c>
      <c r="E331" s="64" t="s">
        <v>38</v>
      </c>
      <c r="F331" s="64" t="s">
        <v>26</v>
      </c>
      <c r="G331" s="64" t="s">
        <v>1027</v>
      </c>
      <c r="H331" s="64"/>
      <c r="I331" s="69" t="s">
        <v>1385</v>
      </c>
      <c r="J331" s="76"/>
      <c r="K331" s="77"/>
      <c r="L331" s="77"/>
      <c r="M331" s="54"/>
      <c r="N331" s="54"/>
      <c r="O331" s="54"/>
      <c r="P331" s="54"/>
      <c r="Q331"/>
      <c r="R331"/>
    </row>
    <row r="332" spans="1:18" s="57" customFormat="1">
      <c r="A332" s="64" t="s">
        <v>1021</v>
      </c>
      <c r="B332" s="74">
        <v>1108</v>
      </c>
      <c r="C332" t="s">
        <v>1367</v>
      </c>
      <c r="D332" s="64" t="s">
        <v>34</v>
      </c>
      <c r="E332" s="64" t="s">
        <v>38</v>
      </c>
      <c r="F332" s="64" t="s">
        <v>26</v>
      </c>
      <c r="G332" s="64" t="s">
        <v>1022</v>
      </c>
      <c r="H332" s="64"/>
      <c r="I332" s="69" t="s">
        <v>1386</v>
      </c>
      <c r="J332" s="76"/>
      <c r="K332" s="77"/>
      <c r="L332" s="77"/>
      <c r="M332" s="54"/>
      <c r="N332" s="54"/>
      <c r="O332" s="54"/>
      <c r="P332" s="54"/>
      <c r="Q332"/>
      <c r="R332"/>
    </row>
    <row r="333" spans="1:18" s="57" customFormat="1">
      <c r="A333" s="64" t="s">
        <v>71</v>
      </c>
      <c r="B333" s="74">
        <v>1108</v>
      </c>
      <c r="C333" t="s">
        <v>1367</v>
      </c>
      <c r="D333" s="64" t="s">
        <v>34</v>
      </c>
      <c r="E333" s="64" t="s">
        <v>38</v>
      </c>
      <c r="F333" s="64" t="s">
        <v>26</v>
      </c>
      <c r="G333" s="64" t="s">
        <v>72</v>
      </c>
      <c r="H333" s="64"/>
      <c r="I333" s="69" t="s">
        <v>1386</v>
      </c>
      <c r="J333" s="76"/>
      <c r="K333" s="77"/>
      <c r="L333" s="77"/>
      <c r="M333" s="54"/>
      <c r="N333" s="54"/>
      <c r="O333" s="54"/>
      <c r="P333" s="54"/>
      <c r="Q333"/>
      <c r="R333"/>
    </row>
    <row r="334" spans="1:18" s="57" customFormat="1">
      <c r="A334" s="64" t="s">
        <v>710</v>
      </c>
      <c r="B334" s="74">
        <v>29</v>
      </c>
      <c r="C334" t="s">
        <v>1367</v>
      </c>
      <c r="D334" s="64" t="s">
        <v>34</v>
      </c>
      <c r="E334" s="64" t="s">
        <v>131</v>
      </c>
      <c r="F334" s="64" t="s">
        <v>26</v>
      </c>
      <c r="G334" s="64" t="s">
        <v>711</v>
      </c>
      <c r="H334" s="64"/>
      <c r="I334" s="69" t="s">
        <v>1350</v>
      </c>
      <c r="J334" s="76"/>
      <c r="K334" s="77"/>
      <c r="L334" s="77"/>
      <c r="M334" s="54"/>
      <c r="N334" s="54"/>
      <c r="O334" s="54"/>
      <c r="P334" s="54"/>
      <c r="Q334"/>
      <c r="R334"/>
    </row>
    <row r="335" spans="1:18" s="57" customFormat="1" ht="15.65" customHeight="1">
      <c r="A335" s="64" t="s">
        <v>1023</v>
      </c>
      <c r="B335" s="74">
        <v>6075.6</v>
      </c>
      <c r="C335" t="s">
        <v>1367</v>
      </c>
      <c r="D335" s="64" t="s">
        <v>34</v>
      </c>
      <c r="E335" s="64" t="s">
        <v>38</v>
      </c>
      <c r="F335" s="64" t="s">
        <v>26</v>
      </c>
      <c r="G335" s="64" t="s">
        <v>191</v>
      </c>
      <c r="H335" s="64"/>
      <c r="I335" s="69" t="s">
        <v>1351</v>
      </c>
      <c r="J335" s="76"/>
      <c r="K335" s="77"/>
      <c r="L335" s="77"/>
      <c r="M335" s="54"/>
      <c r="N335" s="54"/>
      <c r="O335" s="54"/>
      <c r="P335" s="54"/>
      <c r="Q335"/>
      <c r="R335"/>
    </row>
    <row r="336" spans="1:18" s="57" customFormat="1">
      <c r="A336" s="90" t="s">
        <v>39</v>
      </c>
      <c r="B336" s="74">
        <v>6075.6</v>
      </c>
      <c r="C336" t="s">
        <v>1367</v>
      </c>
      <c r="D336" s="64" t="s">
        <v>34</v>
      </c>
      <c r="E336" s="64" t="s">
        <v>38</v>
      </c>
      <c r="F336" s="64" t="s">
        <v>26</v>
      </c>
      <c r="G336" s="69" t="s">
        <v>40</v>
      </c>
      <c r="H336" s="64"/>
      <c r="I336" s="69" t="s">
        <v>1351</v>
      </c>
      <c r="J336" s="76"/>
      <c r="K336" s="77"/>
      <c r="L336" s="77"/>
      <c r="M336" s="54"/>
      <c r="N336" s="54"/>
      <c r="O336" s="54"/>
      <c r="P336" s="54"/>
      <c r="Q336"/>
      <c r="R336"/>
    </row>
    <row r="337" spans="1:20" s="57" customFormat="1">
      <c r="A337" s="64" t="s">
        <v>1004</v>
      </c>
      <c r="B337" s="91">
        <v>7.7</v>
      </c>
      <c r="C337" t="s">
        <v>1367</v>
      </c>
      <c r="D337" s="64" t="s">
        <v>155</v>
      </c>
      <c r="E337" s="69" t="s">
        <v>119</v>
      </c>
      <c r="F337" s="64" t="s">
        <v>26</v>
      </c>
      <c r="G337" s="69" t="s">
        <v>1003</v>
      </c>
      <c r="H337" s="64"/>
      <c r="I337" s="69" t="s">
        <v>1352</v>
      </c>
      <c r="J337" s="76"/>
      <c r="K337" s="77"/>
      <c r="L337" s="77"/>
      <c r="M337" s="54"/>
      <c r="N337" s="54"/>
      <c r="O337" s="54"/>
      <c r="P337" s="54"/>
      <c r="Q337"/>
      <c r="R337"/>
    </row>
    <row r="338" spans="1:20" s="57" customFormat="1">
      <c r="A338" s="64" t="s">
        <v>25</v>
      </c>
      <c r="B338" s="74">
        <v>37113.5</v>
      </c>
      <c r="C338" t="s">
        <v>1367</v>
      </c>
      <c r="D338" s="64" t="s">
        <v>34</v>
      </c>
      <c r="E338" s="64" t="s">
        <v>8</v>
      </c>
      <c r="F338" s="64" t="s">
        <v>26</v>
      </c>
      <c r="G338" s="69" t="s">
        <v>4</v>
      </c>
      <c r="H338" s="64"/>
      <c r="I338" s="64" t="s">
        <v>1332</v>
      </c>
      <c r="J338" s="83"/>
      <c r="K338" s="70"/>
      <c r="L338" s="70"/>
      <c r="M338" s="62"/>
      <c r="N338" s="62"/>
      <c r="O338" s="62"/>
      <c r="P338" s="62"/>
    </row>
    <row r="339" spans="1:20" s="57" customFormat="1">
      <c r="A339" s="83"/>
      <c r="B339" s="85"/>
      <c r="C339" s="85"/>
      <c r="D339" s="92"/>
      <c r="E339" s="83"/>
      <c r="F339" s="92"/>
      <c r="G339" s="92"/>
      <c r="H339" s="83"/>
      <c r="I339" s="92"/>
      <c r="J339" s="64"/>
      <c r="K339" s="70"/>
      <c r="L339" s="70"/>
      <c r="M339" s="62"/>
      <c r="N339" s="62"/>
      <c r="O339" s="62"/>
      <c r="P339" s="62"/>
    </row>
    <row r="340" spans="1:20" s="57" customFormat="1">
      <c r="A340" s="67" t="s">
        <v>0</v>
      </c>
      <c r="B340" s="68" t="s">
        <v>1372</v>
      </c>
      <c r="C340" s="68"/>
      <c r="D340" s="64"/>
      <c r="E340" s="64"/>
      <c r="F340" s="64"/>
      <c r="G340" s="64"/>
      <c r="H340" s="64"/>
      <c r="I340" s="64"/>
      <c r="J340" s="64"/>
      <c r="K340" s="70"/>
      <c r="L340" s="70"/>
      <c r="M340" s="62"/>
      <c r="N340" s="62"/>
      <c r="O340" s="62"/>
      <c r="P340" s="62"/>
    </row>
    <row r="341" spans="1:20" s="57" customFormat="1">
      <c r="A341" s="71" t="s">
        <v>2</v>
      </c>
      <c r="B341" s="72">
        <v>1</v>
      </c>
      <c r="C341" s="72"/>
      <c r="D341" s="64"/>
      <c r="E341" s="64"/>
      <c r="F341" s="64"/>
      <c r="G341" s="64"/>
      <c r="H341" s="64"/>
      <c r="I341" s="64"/>
      <c r="J341" s="64"/>
      <c r="K341" s="70"/>
      <c r="L341" s="70"/>
      <c r="M341" s="62"/>
      <c r="N341" s="62"/>
      <c r="O341" s="62"/>
      <c r="P341" s="62"/>
    </row>
    <row r="342" spans="1:20" s="57" customFormat="1">
      <c r="A342" s="71" t="s">
        <v>13</v>
      </c>
      <c r="B342" s="72" t="s">
        <v>1387</v>
      </c>
      <c r="C342" s="72"/>
      <c r="D342" s="64"/>
      <c r="E342" s="64"/>
      <c r="F342" s="64"/>
      <c r="G342" s="64"/>
      <c r="H342" s="64"/>
      <c r="I342" s="64"/>
      <c r="J342" s="64"/>
      <c r="K342" s="70"/>
      <c r="L342" s="70"/>
      <c r="M342" s="62"/>
      <c r="N342" s="62"/>
      <c r="O342" s="62"/>
      <c r="P342" s="62"/>
    </row>
    <row r="343" spans="1:20" s="57" customFormat="1">
      <c r="A343" s="71" t="s">
        <v>3</v>
      </c>
      <c r="B343" s="74" t="s">
        <v>1373</v>
      </c>
      <c r="C343" s="74"/>
      <c r="D343" s="64"/>
      <c r="E343" s="64"/>
      <c r="F343" s="64"/>
      <c r="G343" s="64"/>
      <c r="H343" s="64"/>
      <c r="I343" s="64"/>
      <c r="J343" s="64"/>
      <c r="K343" s="70"/>
      <c r="L343" s="70"/>
      <c r="M343" s="62"/>
      <c r="N343" s="62"/>
      <c r="O343" s="62"/>
      <c r="P343" s="62"/>
    </row>
    <row r="344" spans="1:20" s="57" customFormat="1">
      <c r="A344" s="71" t="s">
        <v>1</v>
      </c>
      <c r="B344" s="72" t="s">
        <v>20</v>
      </c>
      <c r="C344" s="72"/>
      <c r="D344" s="64"/>
      <c r="E344" s="64"/>
      <c r="F344" s="64"/>
      <c r="G344" s="64"/>
      <c r="H344" s="64"/>
      <c r="I344" s="64"/>
      <c r="J344" s="64"/>
      <c r="K344" s="70"/>
      <c r="L344" s="70"/>
      <c r="M344" s="62"/>
      <c r="N344" s="62"/>
      <c r="O344" s="62"/>
      <c r="P344" s="62"/>
    </row>
    <row r="345" spans="1:20" s="57" customFormat="1">
      <c r="A345" s="71" t="s">
        <v>7</v>
      </c>
      <c r="B345" s="74" t="s">
        <v>7</v>
      </c>
      <c r="C345" s="74"/>
      <c r="D345" s="64"/>
      <c r="E345" s="64"/>
      <c r="F345" s="64"/>
      <c r="G345" s="64"/>
      <c r="H345" s="64"/>
      <c r="I345" s="64"/>
      <c r="J345" s="75"/>
      <c r="K345" s="70"/>
      <c r="L345" s="70"/>
      <c r="M345" s="62"/>
      <c r="N345" s="62"/>
      <c r="O345" s="62"/>
      <c r="P345" s="62"/>
    </row>
    <row r="346" spans="1:20" s="57" customFormat="1">
      <c r="A346" s="75" t="s">
        <v>14</v>
      </c>
      <c r="B346" s="68"/>
      <c r="C346" s="68"/>
      <c r="D346" s="75"/>
      <c r="E346" s="75"/>
      <c r="F346" s="75"/>
      <c r="G346" s="75"/>
      <c r="H346" s="75"/>
      <c r="I346" s="75"/>
      <c r="J346" s="1"/>
      <c r="K346" s="63"/>
      <c r="L346" s="63"/>
      <c r="M346" s="63"/>
      <c r="N346" s="63"/>
      <c r="O346" s="63"/>
      <c r="P346" s="63"/>
      <c r="Q346" s="1"/>
      <c r="R346" s="1"/>
      <c r="S346" s="45"/>
      <c r="T346" s="1"/>
    </row>
    <row r="347" spans="1:20" s="57" customFormat="1">
      <c r="A347" s="75" t="s">
        <v>15</v>
      </c>
      <c r="B347" s="68" t="s">
        <v>16</v>
      </c>
      <c r="C347" s="68" t="s">
        <v>17</v>
      </c>
      <c r="D347" s="75" t="s">
        <v>1</v>
      </c>
      <c r="E347" s="75" t="s">
        <v>7</v>
      </c>
      <c r="F347" s="75" t="s">
        <v>5</v>
      </c>
      <c r="G347" s="75" t="s">
        <v>3</v>
      </c>
      <c r="H347" s="84" t="s">
        <v>18</v>
      </c>
      <c r="I347" s="84" t="s">
        <v>13</v>
      </c>
      <c r="J347" s="64"/>
      <c r="K347" s="70"/>
      <c r="L347" s="70"/>
      <c r="M347" s="62"/>
      <c r="N347" s="62"/>
      <c r="O347" s="62"/>
      <c r="P347" s="62"/>
    </row>
    <row r="348" spans="1:20" s="57" customFormat="1">
      <c r="A348" s="74" t="str">
        <f>B340</f>
        <v>treatment of electrolyzer balance of plant, 1MWe, AEC</v>
      </c>
      <c r="B348" s="70">
        <v>-1</v>
      </c>
      <c r="C348" t="s">
        <v>1413</v>
      </c>
      <c r="D348" s="64" t="s">
        <v>20</v>
      </c>
      <c r="E348" s="64" t="str">
        <f>B345</f>
        <v>unit</v>
      </c>
      <c r="F348" s="64" t="s">
        <v>24</v>
      </c>
      <c r="G348" s="64" t="str">
        <f>B343</f>
        <v>used electrolyzer balance of plant, 1MWe, AEC</v>
      </c>
      <c r="H348" s="64"/>
      <c r="I348" s="64"/>
      <c r="J348" s="76"/>
      <c r="K348" s="77"/>
      <c r="L348" s="77"/>
      <c r="M348" s="54"/>
      <c r="N348" s="54"/>
      <c r="O348" s="54"/>
      <c r="P348" s="54"/>
      <c r="Q348"/>
      <c r="R348"/>
    </row>
    <row r="349" spans="1:20" s="57" customFormat="1">
      <c r="A349" s="74" t="s">
        <v>1273</v>
      </c>
      <c r="B349" s="64">
        <v>-12819.5</v>
      </c>
      <c r="C349" t="s">
        <v>1367</v>
      </c>
      <c r="D349" s="64" t="s">
        <v>169</v>
      </c>
      <c r="E349" s="64" t="s">
        <v>38</v>
      </c>
      <c r="F349" s="64" t="s">
        <v>26</v>
      </c>
      <c r="G349" s="64" t="s">
        <v>1272</v>
      </c>
      <c r="H349" s="64"/>
      <c r="I349" s="64"/>
      <c r="J349" s="76"/>
      <c r="K349" s="77"/>
      <c r="L349" s="77"/>
      <c r="M349" s="54"/>
      <c r="N349" s="54"/>
      <c r="O349" s="54"/>
      <c r="P349" s="54"/>
      <c r="Q349"/>
      <c r="R349"/>
    </row>
    <row r="350" spans="1:20" s="57" customFormat="1">
      <c r="A350" s="74" t="s">
        <v>1353</v>
      </c>
      <c r="B350" s="64">
        <v>-5134.3999999999996</v>
      </c>
      <c r="C350" t="s">
        <v>1367</v>
      </c>
      <c r="D350" s="64" t="s">
        <v>51</v>
      </c>
      <c r="E350" s="64" t="s">
        <v>38</v>
      </c>
      <c r="F350" s="64" t="s">
        <v>26</v>
      </c>
      <c r="G350" s="74" t="s">
        <v>1354</v>
      </c>
      <c r="H350" s="64"/>
      <c r="I350" s="64"/>
      <c r="J350" s="76"/>
      <c r="K350" s="77"/>
      <c r="L350" s="77"/>
      <c r="M350" s="54"/>
      <c r="N350" s="54"/>
      <c r="O350" s="54"/>
      <c r="P350" s="54"/>
      <c r="Q350"/>
      <c r="R350"/>
    </row>
    <row r="351" spans="1:20" s="57" customFormat="1">
      <c r="A351" s="64" t="s">
        <v>1393</v>
      </c>
      <c r="B351" s="64">
        <v>-160</v>
      </c>
      <c r="C351" t="s">
        <v>1367</v>
      </c>
      <c r="D351" s="64" t="s">
        <v>169</v>
      </c>
      <c r="E351" s="64" t="s">
        <v>38</v>
      </c>
      <c r="F351" s="64" t="s">
        <v>26</v>
      </c>
      <c r="G351" s="64" t="s">
        <v>1394</v>
      </c>
      <c r="H351" s="64"/>
      <c r="I351" s="64"/>
      <c r="J351" s="76"/>
      <c r="K351" s="77"/>
      <c r="L351" s="77"/>
      <c r="M351" s="54"/>
      <c r="N351" s="54"/>
      <c r="O351" s="54"/>
      <c r="P351" s="54"/>
      <c r="Q351"/>
      <c r="R351"/>
    </row>
    <row r="352" spans="1:20" s="57" customFormat="1">
      <c r="A352" s="64" t="s">
        <v>1355</v>
      </c>
      <c r="B352" s="64">
        <v>-32</v>
      </c>
      <c r="C352" t="s">
        <v>1367</v>
      </c>
      <c r="D352" s="64" t="s">
        <v>51</v>
      </c>
      <c r="E352" s="64" t="s">
        <v>38</v>
      </c>
      <c r="F352" s="64" t="s">
        <v>26</v>
      </c>
      <c r="G352" s="64" t="s">
        <v>1356</v>
      </c>
      <c r="H352" s="64"/>
      <c r="I352" s="64"/>
      <c r="J352" s="76"/>
      <c r="K352" s="77"/>
      <c r="L352" s="77"/>
      <c r="M352" s="54"/>
      <c r="N352" s="54"/>
      <c r="O352" s="54"/>
      <c r="P352" s="54"/>
      <c r="Q352"/>
      <c r="R352"/>
    </row>
    <row r="353" spans="1:1017 1025:2041 2049:3065 3073:4089 4097:5113 5121:6137 6145:7161 7169:8185 8193:9209 9217:10233 10241:11257 11265:12281 12289:13305 13313:14329 14337:15353 15361:16377" s="57" customFormat="1">
      <c r="A353" s="64" t="s">
        <v>1357</v>
      </c>
      <c r="B353" s="64">
        <v>-14</v>
      </c>
      <c r="C353" t="s">
        <v>1367</v>
      </c>
      <c r="D353" s="64" t="s">
        <v>51</v>
      </c>
      <c r="E353" s="64" t="s">
        <v>38</v>
      </c>
      <c r="F353" s="64" t="s">
        <v>26</v>
      </c>
      <c r="G353" s="64" t="s">
        <v>1358</v>
      </c>
      <c r="H353" s="64"/>
      <c r="I353" s="64"/>
      <c r="J353" s="76"/>
      <c r="K353" s="77"/>
      <c r="L353" s="77"/>
      <c r="M353" s="54"/>
      <c r="N353" s="54"/>
      <c r="O353" s="54"/>
      <c r="P353" s="54"/>
      <c r="Q353"/>
      <c r="R353"/>
    </row>
    <row r="354" spans="1:1017 1025:2041 2049:3065 3073:4089 4097:5113 5121:6137 6145:7161 7169:8185 8193:9209 9217:10233 10241:11257 11265:12281 12289:13305 13313:14329 14337:15353 15361:16377" s="57" customFormat="1">
      <c r="A354" s="64" t="s">
        <v>851</v>
      </c>
      <c r="B354" s="64">
        <v>-800</v>
      </c>
      <c r="C354" t="s">
        <v>1367</v>
      </c>
      <c r="D354" s="64" t="s">
        <v>34</v>
      </c>
      <c r="E354" s="64" t="s">
        <v>38</v>
      </c>
      <c r="F354" s="64" t="s">
        <v>26</v>
      </c>
      <c r="G354" s="64" t="s">
        <v>852</v>
      </c>
      <c r="H354" s="64"/>
      <c r="I354" s="64"/>
      <c r="J354" s="76"/>
      <c r="K354" s="77"/>
      <c r="L354" s="77"/>
      <c r="M354" s="54"/>
      <c r="N354" s="54"/>
      <c r="O354" s="54"/>
      <c r="P354" s="54"/>
      <c r="Q354"/>
      <c r="R354"/>
    </row>
    <row r="355" spans="1:1017 1025:2041 2049:3065 3073:4089 4097:5113 5121:6137 6145:7161 7169:8185 8193:9209 9217:10233 10241:11257 11265:12281 12289:13305 13313:14329 14337:15353 15361:16377" s="57" customFormat="1">
      <c r="A355" s="64" t="s">
        <v>1359</v>
      </c>
      <c r="B355" s="64">
        <v>-468</v>
      </c>
      <c r="C355" t="s">
        <v>1367</v>
      </c>
      <c r="D355" s="64" t="s">
        <v>169</v>
      </c>
      <c r="E355" s="64" t="s">
        <v>38</v>
      </c>
      <c r="F355" s="64" t="s">
        <v>26</v>
      </c>
      <c r="G355" s="64" t="s">
        <v>1360</v>
      </c>
      <c r="H355" s="64"/>
      <c r="I355" s="64"/>
      <c r="J355" s="76"/>
      <c r="K355" s="77"/>
      <c r="L355" s="77"/>
      <c r="M355" s="54"/>
      <c r="N355" s="54"/>
      <c r="O355" s="54"/>
      <c r="P355" s="54"/>
      <c r="Q355"/>
      <c r="R355"/>
    </row>
    <row r="356" spans="1:1017 1025:2041 2049:3065 3073:4089 4097:5113 5121:6137 6145:7161 7169:8185 8193:9209 9217:10233 10241:11257 11265:12281 12289:13305 13313:14329 14337:15353 15361:16377" s="57" customFormat="1">
      <c r="A356" s="64" t="s">
        <v>1361</v>
      </c>
      <c r="B356" s="64">
        <v>-716</v>
      </c>
      <c r="C356" t="s">
        <v>1367</v>
      </c>
      <c r="D356" s="64" t="s">
        <v>169</v>
      </c>
      <c r="E356" s="64" t="s">
        <v>38</v>
      </c>
      <c r="F356" s="64" t="s">
        <v>26</v>
      </c>
      <c r="G356" s="64" t="s">
        <v>1362</v>
      </c>
      <c r="H356" s="64"/>
      <c r="I356" s="64"/>
      <c r="J356" s="76"/>
      <c r="K356" s="77"/>
      <c r="L356" s="77"/>
      <c r="M356" s="54"/>
      <c r="N356" s="54"/>
      <c r="O356" s="54"/>
      <c r="P356" s="54"/>
      <c r="Q356"/>
      <c r="R356"/>
    </row>
    <row r="357" spans="1:1017 1025:2041 2049:3065 3073:4089 4097:5113 5121:6137 6145:7161 7169:8185 8193:9209 9217:10233 10241:11257 11265:12281 12289:13305 13313:14329 14337:15353 15361:16377" s="57" customFormat="1">
      <c r="A357" s="64" t="s">
        <v>1395</v>
      </c>
      <c r="B357" s="64">
        <v>-617</v>
      </c>
      <c r="C357" t="s">
        <v>1367</v>
      </c>
      <c r="D357" s="64" t="s">
        <v>169</v>
      </c>
      <c r="E357" s="64" t="s">
        <v>38</v>
      </c>
      <c r="F357" s="64" t="s">
        <v>26</v>
      </c>
      <c r="G357" s="64" t="s">
        <v>1396</v>
      </c>
      <c r="H357" s="64"/>
      <c r="I357" s="64"/>
      <c r="J357" s="76"/>
      <c r="K357" s="77"/>
      <c r="L357" s="77"/>
      <c r="M357" s="54"/>
      <c r="N357" s="54"/>
      <c r="O357" s="54"/>
      <c r="P357" s="54"/>
      <c r="Q357"/>
      <c r="R357"/>
    </row>
    <row r="358" spans="1:1017 1025:2041 2049:3065 3073:4089 4097:5113 5121:6137 6145:7161 7169:8185 8193:9209 9217:10233 10241:11257 11265:12281 12289:13305 13313:14329 14337:15353 15361:16377" s="57" customFormat="1" ht="13.5" customHeight="1">
      <c r="A358" s="64" t="s">
        <v>1333</v>
      </c>
      <c r="B358" s="64">
        <v>-208</v>
      </c>
      <c r="C358" t="s">
        <v>1367</v>
      </c>
      <c r="D358" s="64" t="s">
        <v>194</v>
      </c>
      <c r="E358" s="64" t="s">
        <v>38</v>
      </c>
      <c r="F358" s="64" t="s">
        <v>26</v>
      </c>
      <c r="G358" s="64" t="s">
        <v>620</v>
      </c>
      <c r="H358" s="64"/>
      <c r="I358" s="64"/>
      <c r="J358" s="76"/>
      <c r="K358" s="77"/>
      <c r="L358" s="77"/>
      <c r="M358" s="54"/>
      <c r="N358" s="54"/>
      <c r="O358" s="54"/>
      <c r="P358" s="54"/>
      <c r="Q358"/>
      <c r="R358"/>
    </row>
    <row r="359" spans="1:1017 1025:2041 2049:3065 3073:4089 4097:5113 5121:6137 6145:7161 7169:8185 8193:9209 9217:10233 10241:11257 11265:12281 12289:13305 13313:14329 14337:15353 15361:16377" s="57" customFormat="1" ht="13.5" customHeight="1">
      <c r="A359" s="64" t="s">
        <v>1363</v>
      </c>
      <c r="B359" s="64">
        <v>-18519</v>
      </c>
      <c r="C359" t="s">
        <v>1367</v>
      </c>
      <c r="D359" s="64" t="s">
        <v>169</v>
      </c>
      <c r="E359" s="64" t="s">
        <v>38</v>
      </c>
      <c r="F359" s="64" t="s">
        <v>26</v>
      </c>
      <c r="G359" s="64" t="s">
        <v>1364</v>
      </c>
      <c r="H359" s="64"/>
      <c r="I359" s="64"/>
      <c r="J359" s="52"/>
      <c r="K359" s="54"/>
      <c r="L359" s="54"/>
      <c r="M359" s="54"/>
      <c r="N359" s="54"/>
      <c r="O359" s="54"/>
      <c r="P359" s="54"/>
      <c r="Q359"/>
      <c r="R359"/>
    </row>
    <row r="360" spans="1:1017 1025:2041 2049:3065 3073:4089 4097:5113 5121:6137 6145:7161 7169:8185 8193:9209 9217:10233 10241:11257 11265:12281 12289:13305 13313:14329 14337:15353 15361:16377">
      <c r="A360" s="66"/>
      <c r="B360" s="66"/>
      <c r="C360" s="66"/>
      <c r="D360" s="66"/>
      <c r="E360" s="66"/>
      <c r="F360" s="66"/>
      <c r="G360" s="66"/>
      <c r="H360" s="66"/>
      <c r="I360" s="66"/>
    </row>
    <row r="361" spans="1:1017 1025:2041 2049:3065 3073:4089 4097:5113 5121:6137 6145:7161 7169:8185 8193:9209 9217:10233 10241:11257 11265:12281 12289:13305 13313:14329 14337:15353 15361:16377">
      <c r="A361" s="1" t="s">
        <v>0</v>
      </c>
      <c r="B361" s="1" t="s">
        <v>1218</v>
      </c>
      <c r="I361" s="1"/>
    </row>
    <row r="362" spans="1:1017 1025:2041 2049:3065 3073:4089 4097:5113 5121:6137 6145:7161 7169:8185 8193:9209 9217:10233 10241:11257 11265:12281 12289:13305 13313:14329 14337:15353 15361:16377">
      <c r="A362" t="s">
        <v>2</v>
      </c>
      <c r="B362">
        <v>1</v>
      </c>
    </row>
    <row r="363" spans="1:1017 1025:2041 2049:3065 3073:4089 4097:5113 5121:6137 6145:7161 7169:8185 8193:9209 9217:10233 10241:11257 11265:12281 12289:13305 13313:14329 14337:15353 15361:16377">
      <c r="A363" t="s">
        <v>3</v>
      </c>
      <c r="B363" t="s">
        <v>1227</v>
      </c>
    </row>
    <row r="364" spans="1:1017 1025:2041 2049:3065 3073:4089 4097:5113 5121:6137 6145:7161 7169:8185 8193:9209 9217:10233 10241:11257 11265:12281 12289:13305 13313:14329 14337:15353 15361:16377">
      <c r="A364" t="s">
        <v>5</v>
      </c>
      <c r="B364" t="s">
        <v>6</v>
      </c>
    </row>
    <row r="365" spans="1:1017 1025:2041 2049:3065 3073:4089 4097:5113 5121:6137 6145:7161 7169:8185 8193:9209 9217:10233 10241:11257 11265:12281 12289:13305 13313:14329 14337:15353 15361:16377">
      <c r="A365" t="s">
        <v>7</v>
      </c>
      <c r="B365" t="s">
        <v>38</v>
      </c>
      <c r="Q365" s="1"/>
      <c r="Y365" s="1"/>
      <c r="AG365" s="1"/>
      <c r="AO365" s="1"/>
      <c r="AW365" s="1"/>
      <c r="BE365" s="1"/>
      <c r="BM365" s="1"/>
      <c r="BU365" s="1"/>
      <c r="CC365" s="1"/>
      <c r="CK365" s="1"/>
      <c r="CS365" s="1"/>
      <c r="DA365" s="1"/>
      <c r="DI365" s="1"/>
      <c r="DQ365" s="1"/>
      <c r="DY365" s="1"/>
      <c r="EG365" s="1"/>
      <c r="EO365" s="1"/>
      <c r="EW365" s="1"/>
      <c r="FE365" s="1"/>
      <c r="FM365" s="1"/>
      <c r="FU365" s="1"/>
      <c r="GC365" s="1"/>
      <c r="GK365" s="1"/>
      <c r="GS365" s="1"/>
      <c r="HA365" s="1"/>
      <c r="HI365" s="1"/>
      <c r="HQ365" s="1"/>
      <c r="HY365" s="1"/>
      <c r="IG365" s="1"/>
      <c r="IO365" s="1"/>
      <c r="IW365" s="1"/>
      <c r="JE365" s="1"/>
      <c r="JM365" s="1"/>
      <c r="JU365" s="1"/>
      <c r="KC365" s="1"/>
      <c r="KK365" s="1"/>
      <c r="KS365" s="1"/>
      <c r="LA365" s="1"/>
      <c r="LI365" s="1"/>
      <c r="LQ365" s="1"/>
      <c r="LY365" s="1"/>
      <c r="MG365" s="1"/>
      <c r="MO365" s="1"/>
      <c r="MW365" s="1"/>
      <c r="NE365" s="1"/>
      <c r="NM365" s="1"/>
      <c r="NU365" s="1"/>
      <c r="OC365" s="1"/>
      <c r="OK365" s="1"/>
      <c r="OS365" s="1"/>
      <c r="PA365" s="1"/>
      <c r="PI365" s="1"/>
      <c r="PQ365" s="1"/>
      <c r="PY365" s="1"/>
      <c r="QG365" s="1"/>
      <c r="QO365" s="1"/>
      <c r="QW365" s="1"/>
      <c r="RE365" s="1"/>
      <c r="RM365" s="1"/>
      <c r="RU365" s="1"/>
      <c r="SC365" s="1"/>
      <c r="SK365" s="1"/>
      <c r="SS365" s="1"/>
      <c r="TA365" s="1"/>
      <c r="TI365" s="1"/>
      <c r="TQ365" s="1"/>
      <c r="TY365" s="1"/>
      <c r="UG365" s="1"/>
      <c r="UO365" s="1"/>
      <c r="UW365" s="1"/>
      <c r="VE365" s="1"/>
      <c r="VM365" s="1"/>
      <c r="VU365" s="1"/>
      <c r="WC365" s="1"/>
      <c r="WK365" s="1"/>
      <c r="WS365" s="1"/>
      <c r="XA365" s="1"/>
      <c r="XI365" s="1"/>
      <c r="XQ365" s="1"/>
      <c r="XY365" s="1"/>
      <c r="YG365" s="1"/>
      <c r="YO365" s="1"/>
      <c r="YW365" s="1"/>
      <c r="ZE365" s="1"/>
      <c r="ZM365" s="1"/>
      <c r="ZU365" s="1"/>
      <c r="AAC365" s="1"/>
      <c r="AAK365" s="1"/>
      <c r="AAS365" s="1"/>
      <c r="ABA365" s="1"/>
      <c r="ABI365" s="1"/>
      <c r="ABQ365" s="1"/>
      <c r="ABY365" s="1"/>
      <c r="ACG365" s="1"/>
      <c r="ACO365" s="1"/>
      <c r="ACW365" s="1"/>
      <c r="ADE365" s="1"/>
      <c r="ADM365" s="1"/>
      <c r="ADU365" s="1"/>
      <c r="AEC365" s="1"/>
      <c r="AEK365" s="1"/>
      <c r="AES365" s="1"/>
      <c r="AFA365" s="1"/>
      <c r="AFI365" s="1"/>
      <c r="AFQ365" s="1"/>
      <c r="AFY365" s="1"/>
      <c r="AGG365" s="1"/>
      <c r="AGO365" s="1"/>
      <c r="AGW365" s="1"/>
      <c r="AHE365" s="1"/>
      <c r="AHM365" s="1"/>
      <c r="AHU365" s="1"/>
      <c r="AIC365" s="1"/>
      <c r="AIK365" s="1"/>
      <c r="AIS365" s="1"/>
      <c r="AJA365" s="1"/>
      <c r="AJI365" s="1"/>
      <c r="AJQ365" s="1"/>
      <c r="AJY365" s="1"/>
      <c r="AKG365" s="1"/>
      <c r="AKO365" s="1"/>
      <c r="AKW365" s="1"/>
      <c r="ALE365" s="1"/>
      <c r="ALM365" s="1"/>
      <c r="ALU365" s="1"/>
      <c r="AMC365" s="1"/>
      <c r="AMK365" s="1"/>
      <c r="AMS365" s="1"/>
      <c r="ANA365" s="1"/>
      <c r="ANI365" s="1"/>
      <c r="ANQ365" s="1"/>
      <c r="ANY365" s="1"/>
      <c r="AOG365" s="1"/>
      <c r="AOO365" s="1"/>
      <c r="AOW365" s="1"/>
      <c r="APE365" s="1"/>
      <c r="APM365" s="1"/>
      <c r="APU365" s="1"/>
      <c r="AQC365" s="1"/>
      <c r="AQK365" s="1"/>
      <c r="AQS365" s="1"/>
      <c r="ARA365" s="1"/>
      <c r="ARI365" s="1"/>
      <c r="ARQ365" s="1"/>
      <c r="ARY365" s="1"/>
      <c r="ASG365" s="1"/>
      <c r="ASO365" s="1"/>
      <c r="ASW365" s="1"/>
      <c r="ATE365" s="1"/>
      <c r="ATM365" s="1"/>
      <c r="ATU365" s="1"/>
      <c r="AUC365" s="1"/>
      <c r="AUK365" s="1"/>
      <c r="AUS365" s="1"/>
      <c r="AVA365" s="1"/>
      <c r="AVI365" s="1"/>
      <c r="AVQ365" s="1"/>
      <c r="AVY365" s="1"/>
      <c r="AWG365" s="1"/>
      <c r="AWO365" s="1"/>
      <c r="AWW365" s="1"/>
      <c r="AXE365" s="1"/>
      <c r="AXM365" s="1"/>
      <c r="AXU365" s="1"/>
      <c r="AYC365" s="1"/>
      <c r="AYK365" s="1"/>
      <c r="AYS365" s="1"/>
      <c r="AZA365" s="1"/>
      <c r="AZI365" s="1"/>
      <c r="AZQ365" s="1"/>
      <c r="AZY365" s="1"/>
      <c r="BAG365" s="1"/>
      <c r="BAO365" s="1"/>
      <c r="BAW365" s="1"/>
      <c r="BBE365" s="1"/>
      <c r="BBM365" s="1"/>
      <c r="BBU365" s="1"/>
      <c r="BCC365" s="1"/>
      <c r="BCK365" s="1"/>
      <c r="BCS365" s="1"/>
      <c r="BDA365" s="1"/>
      <c r="BDI365" s="1"/>
      <c r="BDQ365" s="1"/>
      <c r="BDY365" s="1"/>
      <c r="BEG365" s="1"/>
      <c r="BEO365" s="1"/>
      <c r="BEW365" s="1"/>
      <c r="BFE365" s="1"/>
      <c r="BFM365" s="1"/>
      <c r="BFU365" s="1"/>
      <c r="BGC365" s="1"/>
      <c r="BGK365" s="1"/>
      <c r="BGS365" s="1"/>
      <c r="BHA365" s="1"/>
      <c r="BHI365" s="1"/>
      <c r="BHQ365" s="1"/>
      <c r="BHY365" s="1"/>
      <c r="BIG365" s="1"/>
      <c r="BIO365" s="1"/>
      <c r="BIW365" s="1"/>
      <c r="BJE365" s="1"/>
      <c r="BJM365" s="1"/>
      <c r="BJU365" s="1"/>
      <c r="BKC365" s="1"/>
      <c r="BKK365" s="1"/>
      <c r="BKS365" s="1"/>
      <c r="BLA365" s="1"/>
      <c r="BLI365" s="1"/>
      <c r="BLQ365" s="1"/>
      <c r="BLY365" s="1"/>
      <c r="BMG365" s="1"/>
      <c r="BMO365" s="1"/>
      <c r="BMW365" s="1"/>
      <c r="BNE365" s="1"/>
      <c r="BNM365" s="1"/>
      <c r="BNU365" s="1"/>
      <c r="BOC365" s="1"/>
      <c r="BOK365" s="1"/>
      <c r="BOS365" s="1"/>
      <c r="BPA365" s="1"/>
      <c r="BPI365" s="1"/>
      <c r="BPQ365" s="1"/>
      <c r="BPY365" s="1"/>
      <c r="BQG365" s="1"/>
      <c r="BQO365" s="1"/>
      <c r="BQW365" s="1"/>
      <c r="BRE365" s="1"/>
      <c r="BRM365" s="1"/>
      <c r="BRU365" s="1"/>
      <c r="BSC365" s="1"/>
      <c r="BSK365" s="1"/>
      <c r="BSS365" s="1"/>
      <c r="BTA365" s="1"/>
      <c r="BTI365" s="1"/>
      <c r="BTQ365" s="1"/>
      <c r="BTY365" s="1"/>
      <c r="BUG365" s="1"/>
      <c r="BUO365" s="1"/>
      <c r="BUW365" s="1"/>
      <c r="BVE365" s="1"/>
      <c r="BVM365" s="1"/>
      <c r="BVU365" s="1"/>
      <c r="BWC365" s="1"/>
      <c r="BWK365" s="1"/>
      <c r="BWS365" s="1"/>
      <c r="BXA365" s="1"/>
      <c r="BXI365" s="1"/>
      <c r="BXQ365" s="1"/>
      <c r="BXY365" s="1"/>
      <c r="BYG365" s="1"/>
      <c r="BYO365" s="1"/>
      <c r="BYW365" s="1"/>
      <c r="BZE365" s="1"/>
      <c r="BZM365" s="1"/>
      <c r="BZU365" s="1"/>
      <c r="CAC365" s="1"/>
      <c r="CAK365" s="1"/>
      <c r="CAS365" s="1"/>
      <c r="CBA365" s="1"/>
      <c r="CBI365" s="1"/>
      <c r="CBQ365" s="1"/>
      <c r="CBY365" s="1"/>
      <c r="CCG365" s="1"/>
      <c r="CCO365" s="1"/>
      <c r="CCW365" s="1"/>
      <c r="CDE365" s="1"/>
      <c r="CDM365" s="1"/>
      <c r="CDU365" s="1"/>
      <c r="CEC365" s="1"/>
      <c r="CEK365" s="1"/>
      <c r="CES365" s="1"/>
      <c r="CFA365" s="1"/>
      <c r="CFI365" s="1"/>
      <c r="CFQ365" s="1"/>
      <c r="CFY365" s="1"/>
      <c r="CGG365" s="1"/>
      <c r="CGO365" s="1"/>
      <c r="CGW365" s="1"/>
      <c r="CHE365" s="1"/>
      <c r="CHM365" s="1"/>
      <c r="CHU365" s="1"/>
      <c r="CIC365" s="1"/>
      <c r="CIK365" s="1"/>
      <c r="CIS365" s="1"/>
      <c r="CJA365" s="1"/>
      <c r="CJI365" s="1"/>
      <c r="CJQ365" s="1"/>
      <c r="CJY365" s="1"/>
      <c r="CKG365" s="1"/>
      <c r="CKO365" s="1"/>
      <c r="CKW365" s="1"/>
      <c r="CLE365" s="1"/>
      <c r="CLM365" s="1"/>
      <c r="CLU365" s="1"/>
      <c r="CMC365" s="1"/>
      <c r="CMK365" s="1"/>
      <c r="CMS365" s="1"/>
      <c r="CNA365" s="1"/>
      <c r="CNI365" s="1"/>
      <c r="CNQ365" s="1"/>
      <c r="CNY365" s="1"/>
      <c r="COG365" s="1"/>
      <c r="COO365" s="1"/>
      <c r="COW365" s="1"/>
      <c r="CPE365" s="1"/>
      <c r="CPM365" s="1"/>
      <c r="CPU365" s="1"/>
      <c r="CQC365" s="1"/>
      <c r="CQK365" s="1"/>
      <c r="CQS365" s="1"/>
      <c r="CRA365" s="1"/>
      <c r="CRI365" s="1"/>
      <c r="CRQ365" s="1"/>
      <c r="CRY365" s="1"/>
      <c r="CSG365" s="1"/>
      <c r="CSO365" s="1"/>
      <c r="CSW365" s="1"/>
      <c r="CTE365" s="1"/>
      <c r="CTM365" s="1"/>
      <c r="CTU365" s="1"/>
      <c r="CUC365" s="1"/>
      <c r="CUK365" s="1"/>
      <c r="CUS365" s="1"/>
      <c r="CVA365" s="1"/>
      <c r="CVI365" s="1"/>
      <c r="CVQ365" s="1"/>
      <c r="CVY365" s="1"/>
      <c r="CWG365" s="1"/>
      <c r="CWO365" s="1"/>
      <c r="CWW365" s="1"/>
      <c r="CXE365" s="1"/>
      <c r="CXM365" s="1"/>
      <c r="CXU365" s="1"/>
      <c r="CYC365" s="1"/>
      <c r="CYK365" s="1"/>
      <c r="CYS365" s="1"/>
      <c r="CZA365" s="1"/>
      <c r="CZI365" s="1"/>
      <c r="CZQ365" s="1"/>
      <c r="CZY365" s="1"/>
      <c r="DAG365" s="1"/>
      <c r="DAO365" s="1"/>
      <c r="DAW365" s="1"/>
      <c r="DBE365" s="1"/>
      <c r="DBM365" s="1"/>
      <c r="DBU365" s="1"/>
      <c r="DCC365" s="1"/>
      <c r="DCK365" s="1"/>
      <c r="DCS365" s="1"/>
      <c r="DDA365" s="1"/>
      <c r="DDI365" s="1"/>
      <c r="DDQ365" s="1"/>
      <c r="DDY365" s="1"/>
      <c r="DEG365" s="1"/>
      <c r="DEO365" s="1"/>
      <c r="DEW365" s="1"/>
      <c r="DFE365" s="1"/>
      <c r="DFM365" s="1"/>
      <c r="DFU365" s="1"/>
      <c r="DGC365" s="1"/>
      <c r="DGK365" s="1"/>
      <c r="DGS365" s="1"/>
      <c r="DHA365" s="1"/>
      <c r="DHI365" s="1"/>
      <c r="DHQ365" s="1"/>
      <c r="DHY365" s="1"/>
      <c r="DIG365" s="1"/>
      <c r="DIO365" s="1"/>
      <c r="DIW365" s="1"/>
      <c r="DJE365" s="1"/>
      <c r="DJM365" s="1"/>
      <c r="DJU365" s="1"/>
      <c r="DKC365" s="1"/>
      <c r="DKK365" s="1"/>
      <c r="DKS365" s="1"/>
      <c r="DLA365" s="1"/>
      <c r="DLI365" s="1"/>
      <c r="DLQ365" s="1"/>
      <c r="DLY365" s="1"/>
      <c r="DMG365" s="1"/>
      <c r="DMO365" s="1"/>
      <c r="DMW365" s="1"/>
      <c r="DNE365" s="1"/>
      <c r="DNM365" s="1"/>
      <c r="DNU365" s="1"/>
      <c r="DOC365" s="1"/>
      <c r="DOK365" s="1"/>
      <c r="DOS365" s="1"/>
      <c r="DPA365" s="1"/>
      <c r="DPI365" s="1"/>
      <c r="DPQ365" s="1"/>
      <c r="DPY365" s="1"/>
      <c r="DQG365" s="1"/>
      <c r="DQO365" s="1"/>
      <c r="DQW365" s="1"/>
      <c r="DRE365" s="1"/>
      <c r="DRM365" s="1"/>
      <c r="DRU365" s="1"/>
      <c r="DSC365" s="1"/>
      <c r="DSK365" s="1"/>
      <c r="DSS365" s="1"/>
      <c r="DTA365" s="1"/>
      <c r="DTI365" s="1"/>
      <c r="DTQ365" s="1"/>
      <c r="DTY365" s="1"/>
      <c r="DUG365" s="1"/>
      <c r="DUO365" s="1"/>
      <c r="DUW365" s="1"/>
      <c r="DVE365" s="1"/>
      <c r="DVM365" s="1"/>
      <c r="DVU365" s="1"/>
      <c r="DWC365" s="1"/>
      <c r="DWK365" s="1"/>
      <c r="DWS365" s="1"/>
      <c r="DXA365" s="1"/>
      <c r="DXI365" s="1"/>
      <c r="DXQ365" s="1"/>
      <c r="DXY365" s="1"/>
      <c r="DYG365" s="1"/>
      <c r="DYO365" s="1"/>
      <c r="DYW365" s="1"/>
      <c r="DZE365" s="1"/>
      <c r="DZM365" s="1"/>
      <c r="DZU365" s="1"/>
      <c r="EAC365" s="1"/>
      <c r="EAK365" s="1"/>
      <c r="EAS365" s="1"/>
      <c r="EBA365" s="1"/>
      <c r="EBI365" s="1"/>
      <c r="EBQ365" s="1"/>
      <c r="EBY365" s="1"/>
      <c r="ECG365" s="1"/>
      <c r="ECO365" s="1"/>
      <c r="ECW365" s="1"/>
      <c r="EDE365" s="1"/>
      <c r="EDM365" s="1"/>
      <c r="EDU365" s="1"/>
      <c r="EEC365" s="1"/>
      <c r="EEK365" s="1"/>
      <c r="EES365" s="1"/>
      <c r="EFA365" s="1"/>
      <c r="EFI365" s="1"/>
      <c r="EFQ365" s="1"/>
      <c r="EFY365" s="1"/>
      <c r="EGG365" s="1"/>
      <c r="EGO365" s="1"/>
      <c r="EGW365" s="1"/>
      <c r="EHE365" s="1"/>
      <c r="EHM365" s="1"/>
      <c r="EHU365" s="1"/>
      <c r="EIC365" s="1"/>
      <c r="EIK365" s="1"/>
      <c r="EIS365" s="1"/>
      <c r="EJA365" s="1"/>
      <c r="EJI365" s="1"/>
      <c r="EJQ365" s="1"/>
      <c r="EJY365" s="1"/>
      <c r="EKG365" s="1"/>
      <c r="EKO365" s="1"/>
      <c r="EKW365" s="1"/>
      <c r="ELE365" s="1"/>
      <c r="ELM365" s="1"/>
      <c r="ELU365" s="1"/>
      <c r="EMC365" s="1"/>
      <c r="EMK365" s="1"/>
      <c r="EMS365" s="1"/>
      <c r="ENA365" s="1"/>
      <c r="ENI365" s="1"/>
      <c r="ENQ365" s="1"/>
      <c r="ENY365" s="1"/>
      <c r="EOG365" s="1"/>
      <c r="EOO365" s="1"/>
      <c r="EOW365" s="1"/>
      <c r="EPE365" s="1"/>
      <c r="EPM365" s="1"/>
      <c r="EPU365" s="1"/>
      <c r="EQC365" s="1"/>
      <c r="EQK365" s="1"/>
      <c r="EQS365" s="1"/>
      <c r="ERA365" s="1"/>
      <c r="ERI365" s="1"/>
      <c r="ERQ365" s="1"/>
      <c r="ERY365" s="1"/>
      <c r="ESG365" s="1"/>
      <c r="ESO365" s="1"/>
      <c r="ESW365" s="1"/>
      <c r="ETE365" s="1"/>
      <c r="ETM365" s="1"/>
      <c r="ETU365" s="1"/>
      <c r="EUC365" s="1"/>
      <c r="EUK365" s="1"/>
      <c r="EUS365" s="1"/>
      <c r="EVA365" s="1"/>
      <c r="EVI365" s="1"/>
      <c r="EVQ365" s="1"/>
      <c r="EVY365" s="1"/>
      <c r="EWG365" s="1"/>
      <c r="EWO365" s="1"/>
      <c r="EWW365" s="1"/>
      <c r="EXE365" s="1"/>
      <c r="EXM365" s="1"/>
      <c r="EXU365" s="1"/>
      <c r="EYC365" s="1"/>
      <c r="EYK365" s="1"/>
      <c r="EYS365" s="1"/>
      <c r="EZA365" s="1"/>
      <c r="EZI365" s="1"/>
      <c r="EZQ365" s="1"/>
      <c r="EZY365" s="1"/>
      <c r="FAG365" s="1"/>
      <c r="FAO365" s="1"/>
      <c r="FAW365" s="1"/>
      <c r="FBE365" s="1"/>
      <c r="FBM365" s="1"/>
      <c r="FBU365" s="1"/>
      <c r="FCC365" s="1"/>
      <c r="FCK365" s="1"/>
      <c r="FCS365" s="1"/>
      <c r="FDA365" s="1"/>
      <c r="FDI365" s="1"/>
      <c r="FDQ365" s="1"/>
      <c r="FDY365" s="1"/>
      <c r="FEG365" s="1"/>
      <c r="FEO365" s="1"/>
      <c r="FEW365" s="1"/>
      <c r="FFE365" s="1"/>
      <c r="FFM365" s="1"/>
      <c r="FFU365" s="1"/>
      <c r="FGC365" s="1"/>
      <c r="FGK365" s="1"/>
      <c r="FGS365" s="1"/>
      <c r="FHA365" s="1"/>
      <c r="FHI365" s="1"/>
      <c r="FHQ365" s="1"/>
      <c r="FHY365" s="1"/>
      <c r="FIG365" s="1"/>
      <c r="FIO365" s="1"/>
      <c r="FIW365" s="1"/>
      <c r="FJE365" s="1"/>
      <c r="FJM365" s="1"/>
      <c r="FJU365" s="1"/>
      <c r="FKC365" s="1"/>
      <c r="FKK365" s="1"/>
      <c r="FKS365" s="1"/>
      <c r="FLA365" s="1"/>
      <c r="FLI365" s="1"/>
      <c r="FLQ365" s="1"/>
      <c r="FLY365" s="1"/>
      <c r="FMG365" s="1"/>
      <c r="FMO365" s="1"/>
      <c r="FMW365" s="1"/>
      <c r="FNE365" s="1"/>
      <c r="FNM365" s="1"/>
      <c r="FNU365" s="1"/>
      <c r="FOC365" s="1"/>
      <c r="FOK365" s="1"/>
      <c r="FOS365" s="1"/>
      <c r="FPA365" s="1"/>
      <c r="FPI365" s="1"/>
      <c r="FPQ365" s="1"/>
      <c r="FPY365" s="1"/>
      <c r="FQG365" s="1"/>
      <c r="FQO365" s="1"/>
      <c r="FQW365" s="1"/>
      <c r="FRE365" s="1"/>
      <c r="FRM365" s="1"/>
      <c r="FRU365" s="1"/>
      <c r="FSC365" s="1"/>
      <c r="FSK365" s="1"/>
      <c r="FSS365" s="1"/>
      <c r="FTA365" s="1"/>
      <c r="FTI365" s="1"/>
      <c r="FTQ365" s="1"/>
      <c r="FTY365" s="1"/>
      <c r="FUG365" s="1"/>
      <c r="FUO365" s="1"/>
      <c r="FUW365" s="1"/>
      <c r="FVE365" s="1"/>
      <c r="FVM365" s="1"/>
      <c r="FVU365" s="1"/>
      <c r="FWC365" s="1"/>
      <c r="FWK365" s="1"/>
      <c r="FWS365" s="1"/>
      <c r="FXA365" s="1"/>
      <c r="FXI365" s="1"/>
      <c r="FXQ365" s="1"/>
      <c r="FXY365" s="1"/>
      <c r="FYG365" s="1"/>
      <c r="FYO365" s="1"/>
      <c r="FYW365" s="1"/>
      <c r="FZE365" s="1"/>
      <c r="FZM365" s="1"/>
      <c r="FZU365" s="1"/>
      <c r="GAC365" s="1"/>
      <c r="GAK365" s="1"/>
      <c r="GAS365" s="1"/>
      <c r="GBA365" s="1"/>
      <c r="GBI365" s="1"/>
      <c r="GBQ365" s="1"/>
      <c r="GBY365" s="1"/>
      <c r="GCG365" s="1"/>
      <c r="GCO365" s="1"/>
      <c r="GCW365" s="1"/>
      <c r="GDE365" s="1"/>
      <c r="GDM365" s="1"/>
      <c r="GDU365" s="1"/>
      <c r="GEC365" s="1"/>
      <c r="GEK365" s="1"/>
      <c r="GES365" s="1"/>
      <c r="GFA365" s="1"/>
      <c r="GFI365" s="1"/>
      <c r="GFQ365" s="1"/>
      <c r="GFY365" s="1"/>
      <c r="GGG365" s="1"/>
      <c r="GGO365" s="1"/>
      <c r="GGW365" s="1"/>
      <c r="GHE365" s="1"/>
      <c r="GHM365" s="1"/>
      <c r="GHU365" s="1"/>
      <c r="GIC365" s="1"/>
      <c r="GIK365" s="1"/>
      <c r="GIS365" s="1"/>
      <c r="GJA365" s="1"/>
      <c r="GJI365" s="1"/>
      <c r="GJQ365" s="1"/>
      <c r="GJY365" s="1"/>
      <c r="GKG365" s="1"/>
      <c r="GKO365" s="1"/>
      <c r="GKW365" s="1"/>
      <c r="GLE365" s="1"/>
      <c r="GLM365" s="1"/>
      <c r="GLU365" s="1"/>
      <c r="GMC365" s="1"/>
      <c r="GMK365" s="1"/>
      <c r="GMS365" s="1"/>
      <c r="GNA365" s="1"/>
      <c r="GNI365" s="1"/>
      <c r="GNQ365" s="1"/>
      <c r="GNY365" s="1"/>
      <c r="GOG365" s="1"/>
      <c r="GOO365" s="1"/>
      <c r="GOW365" s="1"/>
      <c r="GPE365" s="1"/>
      <c r="GPM365" s="1"/>
      <c r="GPU365" s="1"/>
      <c r="GQC365" s="1"/>
      <c r="GQK365" s="1"/>
      <c r="GQS365" s="1"/>
      <c r="GRA365" s="1"/>
      <c r="GRI365" s="1"/>
      <c r="GRQ365" s="1"/>
      <c r="GRY365" s="1"/>
      <c r="GSG365" s="1"/>
      <c r="GSO365" s="1"/>
      <c r="GSW365" s="1"/>
      <c r="GTE365" s="1"/>
      <c r="GTM365" s="1"/>
      <c r="GTU365" s="1"/>
      <c r="GUC365" s="1"/>
      <c r="GUK365" s="1"/>
      <c r="GUS365" s="1"/>
      <c r="GVA365" s="1"/>
      <c r="GVI365" s="1"/>
      <c r="GVQ365" s="1"/>
      <c r="GVY365" s="1"/>
      <c r="GWG365" s="1"/>
      <c r="GWO365" s="1"/>
      <c r="GWW365" s="1"/>
      <c r="GXE365" s="1"/>
      <c r="GXM365" s="1"/>
      <c r="GXU365" s="1"/>
      <c r="GYC365" s="1"/>
      <c r="GYK365" s="1"/>
      <c r="GYS365" s="1"/>
      <c r="GZA365" s="1"/>
      <c r="GZI365" s="1"/>
      <c r="GZQ365" s="1"/>
      <c r="GZY365" s="1"/>
      <c r="HAG365" s="1"/>
      <c r="HAO365" s="1"/>
      <c r="HAW365" s="1"/>
      <c r="HBE365" s="1"/>
      <c r="HBM365" s="1"/>
      <c r="HBU365" s="1"/>
      <c r="HCC365" s="1"/>
      <c r="HCK365" s="1"/>
      <c r="HCS365" s="1"/>
      <c r="HDA365" s="1"/>
      <c r="HDI365" s="1"/>
      <c r="HDQ365" s="1"/>
      <c r="HDY365" s="1"/>
      <c r="HEG365" s="1"/>
      <c r="HEO365" s="1"/>
      <c r="HEW365" s="1"/>
      <c r="HFE365" s="1"/>
      <c r="HFM365" s="1"/>
      <c r="HFU365" s="1"/>
      <c r="HGC365" s="1"/>
      <c r="HGK365" s="1"/>
      <c r="HGS365" s="1"/>
      <c r="HHA365" s="1"/>
      <c r="HHI365" s="1"/>
      <c r="HHQ365" s="1"/>
      <c r="HHY365" s="1"/>
      <c r="HIG365" s="1"/>
      <c r="HIO365" s="1"/>
      <c r="HIW365" s="1"/>
      <c r="HJE365" s="1"/>
      <c r="HJM365" s="1"/>
      <c r="HJU365" s="1"/>
      <c r="HKC365" s="1"/>
      <c r="HKK365" s="1"/>
      <c r="HKS365" s="1"/>
      <c r="HLA365" s="1"/>
      <c r="HLI365" s="1"/>
      <c r="HLQ365" s="1"/>
      <c r="HLY365" s="1"/>
      <c r="HMG365" s="1"/>
      <c r="HMO365" s="1"/>
      <c r="HMW365" s="1"/>
      <c r="HNE365" s="1"/>
      <c r="HNM365" s="1"/>
      <c r="HNU365" s="1"/>
      <c r="HOC365" s="1"/>
      <c r="HOK365" s="1"/>
      <c r="HOS365" s="1"/>
      <c r="HPA365" s="1"/>
      <c r="HPI365" s="1"/>
      <c r="HPQ365" s="1"/>
      <c r="HPY365" s="1"/>
      <c r="HQG365" s="1"/>
      <c r="HQO365" s="1"/>
      <c r="HQW365" s="1"/>
      <c r="HRE365" s="1"/>
      <c r="HRM365" s="1"/>
      <c r="HRU365" s="1"/>
      <c r="HSC365" s="1"/>
      <c r="HSK365" s="1"/>
      <c r="HSS365" s="1"/>
      <c r="HTA365" s="1"/>
      <c r="HTI365" s="1"/>
      <c r="HTQ365" s="1"/>
      <c r="HTY365" s="1"/>
      <c r="HUG365" s="1"/>
      <c r="HUO365" s="1"/>
      <c r="HUW365" s="1"/>
      <c r="HVE365" s="1"/>
      <c r="HVM365" s="1"/>
      <c r="HVU365" s="1"/>
      <c r="HWC365" s="1"/>
      <c r="HWK365" s="1"/>
      <c r="HWS365" s="1"/>
      <c r="HXA365" s="1"/>
      <c r="HXI365" s="1"/>
      <c r="HXQ365" s="1"/>
      <c r="HXY365" s="1"/>
      <c r="HYG365" s="1"/>
      <c r="HYO365" s="1"/>
      <c r="HYW365" s="1"/>
      <c r="HZE365" s="1"/>
      <c r="HZM365" s="1"/>
      <c r="HZU365" s="1"/>
      <c r="IAC365" s="1"/>
      <c r="IAK365" s="1"/>
      <c r="IAS365" s="1"/>
      <c r="IBA365" s="1"/>
      <c r="IBI365" s="1"/>
      <c r="IBQ365" s="1"/>
      <c r="IBY365" s="1"/>
      <c r="ICG365" s="1"/>
      <c r="ICO365" s="1"/>
      <c r="ICW365" s="1"/>
      <c r="IDE365" s="1"/>
      <c r="IDM365" s="1"/>
      <c r="IDU365" s="1"/>
      <c r="IEC365" s="1"/>
      <c r="IEK365" s="1"/>
      <c r="IES365" s="1"/>
      <c r="IFA365" s="1"/>
      <c r="IFI365" s="1"/>
      <c r="IFQ365" s="1"/>
      <c r="IFY365" s="1"/>
      <c r="IGG365" s="1"/>
      <c r="IGO365" s="1"/>
      <c r="IGW365" s="1"/>
      <c r="IHE365" s="1"/>
      <c r="IHM365" s="1"/>
      <c r="IHU365" s="1"/>
      <c r="IIC365" s="1"/>
      <c r="IIK365" s="1"/>
      <c r="IIS365" s="1"/>
      <c r="IJA365" s="1"/>
      <c r="IJI365" s="1"/>
      <c r="IJQ365" s="1"/>
      <c r="IJY365" s="1"/>
      <c r="IKG365" s="1"/>
      <c r="IKO365" s="1"/>
      <c r="IKW365" s="1"/>
      <c r="ILE365" s="1"/>
      <c r="ILM365" s="1"/>
      <c r="ILU365" s="1"/>
      <c r="IMC365" s="1"/>
      <c r="IMK365" s="1"/>
      <c r="IMS365" s="1"/>
      <c r="INA365" s="1"/>
      <c r="INI365" s="1"/>
      <c r="INQ365" s="1"/>
      <c r="INY365" s="1"/>
      <c r="IOG365" s="1"/>
      <c r="IOO365" s="1"/>
      <c r="IOW365" s="1"/>
      <c r="IPE365" s="1"/>
      <c r="IPM365" s="1"/>
      <c r="IPU365" s="1"/>
      <c r="IQC365" s="1"/>
      <c r="IQK365" s="1"/>
      <c r="IQS365" s="1"/>
      <c r="IRA365" s="1"/>
      <c r="IRI365" s="1"/>
      <c r="IRQ365" s="1"/>
      <c r="IRY365" s="1"/>
      <c r="ISG365" s="1"/>
      <c r="ISO365" s="1"/>
      <c r="ISW365" s="1"/>
      <c r="ITE365" s="1"/>
      <c r="ITM365" s="1"/>
      <c r="ITU365" s="1"/>
      <c r="IUC365" s="1"/>
      <c r="IUK365" s="1"/>
      <c r="IUS365" s="1"/>
      <c r="IVA365" s="1"/>
      <c r="IVI365" s="1"/>
      <c r="IVQ365" s="1"/>
      <c r="IVY365" s="1"/>
      <c r="IWG365" s="1"/>
      <c r="IWO365" s="1"/>
      <c r="IWW365" s="1"/>
      <c r="IXE365" s="1"/>
      <c r="IXM365" s="1"/>
      <c r="IXU365" s="1"/>
      <c r="IYC365" s="1"/>
      <c r="IYK365" s="1"/>
      <c r="IYS365" s="1"/>
      <c r="IZA365" s="1"/>
      <c r="IZI365" s="1"/>
      <c r="IZQ365" s="1"/>
      <c r="IZY365" s="1"/>
      <c r="JAG365" s="1"/>
      <c r="JAO365" s="1"/>
      <c r="JAW365" s="1"/>
      <c r="JBE365" s="1"/>
      <c r="JBM365" s="1"/>
      <c r="JBU365" s="1"/>
      <c r="JCC365" s="1"/>
      <c r="JCK365" s="1"/>
      <c r="JCS365" s="1"/>
      <c r="JDA365" s="1"/>
      <c r="JDI365" s="1"/>
      <c r="JDQ365" s="1"/>
      <c r="JDY365" s="1"/>
      <c r="JEG365" s="1"/>
      <c r="JEO365" s="1"/>
      <c r="JEW365" s="1"/>
      <c r="JFE365" s="1"/>
      <c r="JFM365" s="1"/>
      <c r="JFU365" s="1"/>
      <c r="JGC365" s="1"/>
      <c r="JGK365" s="1"/>
      <c r="JGS365" s="1"/>
      <c r="JHA365" s="1"/>
      <c r="JHI365" s="1"/>
      <c r="JHQ365" s="1"/>
      <c r="JHY365" s="1"/>
      <c r="JIG365" s="1"/>
      <c r="JIO365" s="1"/>
      <c r="JIW365" s="1"/>
      <c r="JJE365" s="1"/>
      <c r="JJM365" s="1"/>
      <c r="JJU365" s="1"/>
      <c r="JKC365" s="1"/>
      <c r="JKK365" s="1"/>
      <c r="JKS365" s="1"/>
      <c r="JLA365" s="1"/>
      <c r="JLI365" s="1"/>
      <c r="JLQ365" s="1"/>
      <c r="JLY365" s="1"/>
      <c r="JMG365" s="1"/>
      <c r="JMO365" s="1"/>
      <c r="JMW365" s="1"/>
      <c r="JNE365" s="1"/>
      <c r="JNM365" s="1"/>
      <c r="JNU365" s="1"/>
      <c r="JOC365" s="1"/>
      <c r="JOK365" s="1"/>
      <c r="JOS365" s="1"/>
      <c r="JPA365" s="1"/>
      <c r="JPI365" s="1"/>
      <c r="JPQ365" s="1"/>
      <c r="JPY365" s="1"/>
      <c r="JQG365" s="1"/>
      <c r="JQO365" s="1"/>
      <c r="JQW365" s="1"/>
      <c r="JRE365" s="1"/>
      <c r="JRM365" s="1"/>
      <c r="JRU365" s="1"/>
      <c r="JSC365" s="1"/>
      <c r="JSK365" s="1"/>
      <c r="JSS365" s="1"/>
      <c r="JTA365" s="1"/>
      <c r="JTI365" s="1"/>
      <c r="JTQ365" s="1"/>
      <c r="JTY365" s="1"/>
      <c r="JUG365" s="1"/>
      <c r="JUO365" s="1"/>
      <c r="JUW365" s="1"/>
      <c r="JVE365" s="1"/>
      <c r="JVM365" s="1"/>
      <c r="JVU365" s="1"/>
      <c r="JWC365" s="1"/>
      <c r="JWK365" s="1"/>
      <c r="JWS365" s="1"/>
      <c r="JXA365" s="1"/>
      <c r="JXI365" s="1"/>
      <c r="JXQ365" s="1"/>
      <c r="JXY365" s="1"/>
      <c r="JYG365" s="1"/>
      <c r="JYO365" s="1"/>
      <c r="JYW365" s="1"/>
      <c r="JZE365" s="1"/>
      <c r="JZM365" s="1"/>
      <c r="JZU365" s="1"/>
      <c r="KAC365" s="1"/>
      <c r="KAK365" s="1"/>
      <c r="KAS365" s="1"/>
      <c r="KBA365" s="1"/>
      <c r="KBI365" s="1"/>
      <c r="KBQ365" s="1"/>
      <c r="KBY365" s="1"/>
      <c r="KCG365" s="1"/>
      <c r="KCO365" s="1"/>
      <c r="KCW365" s="1"/>
      <c r="KDE365" s="1"/>
      <c r="KDM365" s="1"/>
      <c r="KDU365" s="1"/>
      <c r="KEC365" s="1"/>
      <c r="KEK365" s="1"/>
      <c r="KES365" s="1"/>
      <c r="KFA365" s="1"/>
      <c r="KFI365" s="1"/>
      <c r="KFQ365" s="1"/>
      <c r="KFY365" s="1"/>
      <c r="KGG365" s="1"/>
      <c r="KGO365" s="1"/>
      <c r="KGW365" s="1"/>
      <c r="KHE365" s="1"/>
      <c r="KHM365" s="1"/>
      <c r="KHU365" s="1"/>
      <c r="KIC365" s="1"/>
      <c r="KIK365" s="1"/>
      <c r="KIS365" s="1"/>
      <c r="KJA365" s="1"/>
      <c r="KJI365" s="1"/>
      <c r="KJQ365" s="1"/>
      <c r="KJY365" s="1"/>
      <c r="KKG365" s="1"/>
      <c r="KKO365" s="1"/>
      <c r="KKW365" s="1"/>
      <c r="KLE365" s="1"/>
      <c r="KLM365" s="1"/>
      <c r="KLU365" s="1"/>
      <c r="KMC365" s="1"/>
      <c r="KMK365" s="1"/>
      <c r="KMS365" s="1"/>
      <c r="KNA365" s="1"/>
      <c r="KNI365" s="1"/>
      <c r="KNQ365" s="1"/>
      <c r="KNY365" s="1"/>
      <c r="KOG365" s="1"/>
      <c r="KOO365" s="1"/>
      <c r="KOW365" s="1"/>
      <c r="KPE365" s="1"/>
      <c r="KPM365" s="1"/>
      <c r="KPU365" s="1"/>
      <c r="KQC365" s="1"/>
      <c r="KQK365" s="1"/>
      <c r="KQS365" s="1"/>
      <c r="KRA365" s="1"/>
      <c r="KRI365" s="1"/>
      <c r="KRQ365" s="1"/>
      <c r="KRY365" s="1"/>
      <c r="KSG365" s="1"/>
      <c r="KSO365" s="1"/>
      <c r="KSW365" s="1"/>
      <c r="KTE365" s="1"/>
      <c r="KTM365" s="1"/>
      <c r="KTU365" s="1"/>
      <c r="KUC365" s="1"/>
      <c r="KUK365" s="1"/>
      <c r="KUS365" s="1"/>
      <c r="KVA365" s="1"/>
      <c r="KVI365" s="1"/>
      <c r="KVQ365" s="1"/>
      <c r="KVY365" s="1"/>
      <c r="KWG365" s="1"/>
      <c r="KWO365" s="1"/>
      <c r="KWW365" s="1"/>
      <c r="KXE365" s="1"/>
      <c r="KXM365" s="1"/>
      <c r="KXU365" s="1"/>
      <c r="KYC365" s="1"/>
      <c r="KYK365" s="1"/>
      <c r="KYS365" s="1"/>
      <c r="KZA365" s="1"/>
      <c r="KZI365" s="1"/>
      <c r="KZQ365" s="1"/>
      <c r="KZY365" s="1"/>
      <c r="LAG365" s="1"/>
      <c r="LAO365" s="1"/>
      <c r="LAW365" s="1"/>
      <c r="LBE365" s="1"/>
      <c r="LBM365" s="1"/>
      <c r="LBU365" s="1"/>
      <c r="LCC365" s="1"/>
      <c r="LCK365" s="1"/>
      <c r="LCS365" s="1"/>
      <c r="LDA365" s="1"/>
      <c r="LDI365" s="1"/>
      <c r="LDQ365" s="1"/>
      <c r="LDY365" s="1"/>
      <c r="LEG365" s="1"/>
      <c r="LEO365" s="1"/>
      <c r="LEW365" s="1"/>
      <c r="LFE365" s="1"/>
      <c r="LFM365" s="1"/>
      <c r="LFU365" s="1"/>
      <c r="LGC365" s="1"/>
      <c r="LGK365" s="1"/>
      <c r="LGS365" s="1"/>
      <c r="LHA365" s="1"/>
      <c r="LHI365" s="1"/>
      <c r="LHQ365" s="1"/>
      <c r="LHY365" s="1"/>
      <c r="LIG365" s="1"/>
      <c r="LIO365" s="1"/>
      <c r="LIW365" s="1"/>
      <c r="LJE365" s="1"/>
      <c r="LJM365" s="1"/>
      <c r="LJU365" s="1"/>
      <c r="LKC365" s="1"/>
      <c r="LKK365" s="1"/>
      <c r="LKS365" s="1"/>
      <c r="LLA365" s="1"/>
      <c r="LLI365" s="1"/>
      <c r="LLQ365" s="1"/>
      <c r="LLY365" s="1"/>
      <c r="LMG365" s="1"/>
      <c r="LMO365" s="1"/>
      <c r="LMW365" s="1"/>
      <c r="LNE365" s="1"/>
      <c r="LNM365" s="1"/>
      <c r="LNU365" s="1"/>
      <c r="LOC365" s="1"/>
      <c r="LOK365" s="1"/>
      <c r="LOS365" s="1"/>
      <c r="LPA365" s="1"/>
      <c r="LPI365" s="1"/>
      <c r="LPQ365" s="1"/>
      <c r="LPY365" s="1"/>
      <c r="LQG365" s="1"/>
      <c r="LQO365" s="1"/>
      <c r="LQW365" s="1"/>
      <c r="LRE365" s="1"/>
      <c r="LRM365" s="1"/>
      <c r="LRU365" s="1"/>
      <c r="LSC365" s="1"/>
      <c r="LSK365" s="1"/>
      <c r="LSS365" s="1"/>
      <c r="LTA365" s="1"/>
      <c r="LTI365" s="1"/>
      <c r="LTQ365" s="1"/>
      <c r="LTY365" s="1"/>
      <c r="LUG365" s="1"/>
      <c r="LUO365" s="1"/>
      <c r="LUW365" s="1"/>
      <c r="LVE365" s="1"/>
      <c r="LVM365" s="1"/>
      <c r="LVU365" s="1"/>
      <c r="LWC365" s="1"/>
      <c r="LWK365" s="1"/>
      <c r="LWS365" s="1"/>
      <c r="LXA365" s="1"/>
      <c r="LXI365" s="1"/>
      <c r="LXQ365" s="1"/>
      <c r="LXY365" s="1"/>
      <c r="LYG365" s="1"/>
      <c r="LYO365" s="1"/>
      <c r="LYW365" s="1"/>
      <c r="LZE365" s="1"/>
      <c r="LZM365" s="1"/>
      <c r="LZU365" s="1"/>
      <c r="MAC365" s="1"/>
      <c r="MAK365" s="1"/>
      <c r="MAS365" s="1"/>
      <c r="MBA365" s="1"/>
      <c r="MBI365" s="1"/>
      <c r="MBQ365" s="1"/>
      <c r="MBY365" s="1"/>
      <c r="MCG365" s="1"/>
      <c r="MCO365" s="1"/>
      <c r="MCW365" s="1"/>
      <c r="MDE365" s="1"/>
      <c r="MDM365" s="1"/>
      <c r="MDU365" s="1"/>
      <c r="MEC365" s="1"/>
      <c r="MEK365" s="1"/>
      <c r="MES365" s="1"/>
      <c r="MFA365" s="1"/>
      <c r="MFI365" s="1"/>
      <c r="MFQ365" s="1"/>
      <c r="MFY365" s="1"/>
      <c r="MGG365" s="1"/>
      <c r="MGO365" s="1"/>
      <c r="MGW365" s="1"/>
      <c r="MHE365" s="1"/>
      <c r="MHM365" s="1"/>
      <c r="MHU365" s="1"/>
      <c r="MIC365" s="1"/>
      <c r="MIK365" s="1"/>
      <c r="MIS365" s="1"/>
      <c r="MJA365" s="1"/>
      <c r="MJI365" s="1"/>
      <c r="MJQ365" s="1"/>
      <c r="MJY365" s="1"/>
      <c r="MKG365" s="1"/>
      <c r="MKO365" s="1"/>
      <c r="MKW365" s="1"/>
      <c r="MLE365" s="1"/>
      <c r="MLM365" s="1"/>
      <c r="MLU365" s="1"/>
      <c r="MMC365" s="1"/>
      <c r="MMK365" s="1"/>
      <c r="MMS365" s="1"/>
      <c r="MNA365" s="1"/>
      <c r="MNI365" s="1"/>
      <c r="MNQ365" s="1"/>
      <c r="MNY365" s="1"/>
      <c r="MOG365" s="1"/>
      <c r="MOO365" s="1"/>
      <c r="MOW365" s="1"/>
      <c r="MPE365" s="1"/>
      <c r="MPM365" s="1"/>
      <c r="MPU365" s="1"/>
      <c r="MQC365" s="1"/>
      <c r="MQK365" s="1"/>
      <c r="MQS365" s="1"/>
      <c r="MRA365" s="1"/>
      <c r="MRI365" s="1"/>
      <c r="MRQ365" s="1"/>
      <c r="MRY365" s="1"/>
      <c r="MSG365" s="1"/>
      <c r="MSO365" s="1"/>
      <c r="MSW365" s="1"/>
      <c r="MTE365" s="1"/>
      <c r="MTM365" s="1"/>
      <c r="MTU365" s="1"/>
      <c r="MUC365" s="1"/>
      <c r="MUK365" s="1"/>
      <c r="MUS365" s="1"/>
      <c r="MVA365" s="1"/>
      <c r="MVI365" s="1"/>
      <c r="MVQ365" s="1"/>
      <c r="MVY365" s="1"/>
      <c r="MWG365" s="1"/>
      <c r="MWO365" s="1"/>
      <c r="MWW365" s="1"/>
      <c r="MXE365" s="1"/>
      <c r="MXM365" s="1"/>
      <c r="MXU365" s="1"/>
      <c r="MYC365" s="1"/>
      <c r="MYK365" s="1"/>
      <c r="MYS365" s="1"/>
      <c r="MZA365" s="1"/>
      <c r="MZI365" s="1"/>
      <c r="MZQ365" s="1"/>
      <c r="MZY365" s="1"/>
      <c r="NAG365" s="1"/>
      <c r="NAO365" s="1"/>
      <c r="NAW365" s="1"/>
      <c r="NBE365" s="1"/>
      <c r="NBM365" s="1"/>
      <c r="NBU365" s="1"/>
      <c r="NCC365" s="1"/>
      <c r="NCK365" s="1"/>
      <c r="NCS365" s="1"/>
      <c r="NDA365" s="1"/>
      <c r="NDI365" s="1"/>
      <c r="NDQ365" s="1"/>
      <c r="NDY365" s="1"/>
      <c r="NEG365" s="1"/>
      <c r="NEO365" s="1"/>
      <c r="NEW365" s="1"/>
      <c r="NFE365" s="1"/>
      <c r="NFM365" s="1"/>
      <c r="NFU365" s="1"/>
      <c r="NGC365" s="1"/>
      <c r="NGK365" s="1"/>
      <c r="NGS365" s="1"/>
      <c r="NHA365" s="1"/>
      <c r="NHI365" s="1"/>
      <c r="NHQ365" s="1"/>
      <c r="NHY365" s="1"/>
      <c r="NIG365" s="1"/>
      <c r="NIO365" s="1"/>
      <c r="NIW365" s="1"/>
      <c r="NJE365" s="1"/>
      <c r="NJM365" s="1"/>
      <c r="NJU365" s="1"/>
      <c r="NKC365" s="1"/>
      <c r="NKK365" s="1"/>
      <c r="NKS365" s="1"/>
      <c r="NLA365" s="1"/>
      <c r="NLI365" s="1"/>
      <c r="NLQ365" s="1"/>
      <c r="NLY365" s="1"/>
      <c r="NMG365" s="1"/>
      <c r="NMO365" s="1"/>
      <c r="NMW365" s="1"/>
      <c r="NNE365" s="1"/>
      <c r="NNM365" s="1"/>
      <c r="NNU365" s="1"/>
      <c r="NOC365" s="1"/>
      <c r="NOK365" s="1"/>
      <c r="NOS365" s="1"/>
      <c r="NPA365" s="1"/>
      <c r="NPI365" s="1"/>
      <c r="NPQ365" s="1"/>
      <c r="NPY365" s="1"/>
      <c r="NQG365" s="1"/>
      <c r="NQO365" s="1"/>
      <c r="NQW365" s="1"/>
      <c r="NRE365" s="1"/>
      <c r="NRM365" s="1"/>
      <c r="NRU365" s="1"/>
      <c r="NSC365" s="1"/>
      <c r="NSK365" s="1"/>
      <c r="NSS365" s="1"/>
      <c r="NTA365" s="1"/>
      <c r="NTI365" s="1"/>
      <c r="NTQ365" s="1"/>
      <c r="NTY365" s="1"/>
      <c r="NUG365" s="1"/>
      <c r="NUO365" s="1"/>
      <c r="NUW365" s="1"/>
      <c r="NVE365" s="1"/>
      <c r="NVM365" s="1"/>
      <c r="NVU365" s="1"/>
      <c r="NWC365" s="1"/>
      <c r="NWK365" s="1"/>
      <c r="NWS365" s="1"/>
      <c r="NXA365" s="1"/>
      <c r="NXI365" s="1"/>
      <c r="NXQ365" s="1"/>
      <c r="NXY365" s="1"/>
      <c r="NYG365" s="1"/>
      <c r="NYO365" s="1"/>
      <c r="NYW365" s="1"/>
      <c r="NZE365" s="1"/>
      <c r="NZM365" s="1"/>
      <c r="NZU365" s="1"/>
      <c r="OAC365" s="1"/>
      <c r="OAK365" s="1"/>
      <c r="OAS365" s="1"/>
      <c r="OBA365" s="1"/>
      <c r="OBI365" s="1"/>
      <c r="OBQ365" s="1"/>
      <c r="OBY365" s="1"/>
      <c r="OCG365" s="1"/>
      <c r="OCO365" s="1"/>
      <c r="OCW365" s="1"/>
      <c r="ODE365" s="1"/>
      <c r="ODM365" s="1"/>
      <c r="ODU365" s="1"/>
      <c r="OEC365" s="1"/>
      <c r="OEK365" s="1"/>
      <c r="OES365" s="1"/>
      <c r="OFA365" s="1"/>
      <c r="OFI365" s="1"/>
      <c r="OFQ365" s="1"/>
      <c r="OFY365" s="1"/>
      <c r="OGG365" s="1"/>
      <c r="OGO365" s="1"/>
      <c r="OGW365" s="1"/>
      <c r="OHE365" s="1"/>
      <c r="OHM365" s="1"/>
      <c r="OHU365" s="1"/>
      <c r="OIC365" s="1"/>
      <c r="OIK365" s="1"/>
      <c r="OIS365" s="1"/>
      <c r="OJA365" s="1"/>
      <c r="OJI365" s="1"/>
      <c r="OJQ365" s="1"/>
      <c r="OJY365" s="1"/>
      <c r="OKG365" s="1"/>
      <c r="OKO365" s="1"/>
      <c r="OKW365" s="1"/>
      <c r="OLE365" s="1"/>
      <c r="OLM365" s="1"/>
      <c r="OLU365" s="1"/>
      <c r="OMC365" s="1"/>
      <c r="OMK365" s="1"/>
      <c r="OMS365" s="1"/>
      <c r="ONA365" s="1"/>
      <c r="ONI365" s="1"/>
      <c r="ONQ365" s="1"/>
      <c r="ONY365" s="1"/>
      <c r="OOG365" s="1"/>
      <c r="OOO365" s="1"/>
      <c r="OOW365" s="1"/>
      <c r="OPE365" s="1"/>
      <c r="OPM365" s="1"/>
      <c r="OPU365" s="1"/>
      <c r="OQC365" s="1"/>
      <c r="OQK365" s="1"/>
      <c r="OQS365" s="1"/>
      <c r="ORA365" s="1"/>
      <c r="ORI365" s="1"/>
      <c r="ORQ365" s="1"/>
      <c r="ORY365" s="1"/>
      <c r="OSG365" s="1"/>
      <c r="OSO365" s="1"/>
      <c r="OSW365" s="1"/>
      <c r="OTE365" s="1"/>
      <c r="OTM365" s="1"/>
      <c r="OTU365" s="1"/>
      <c r="OUC365" s="1"/>
      <c r="OUK365" s="1"/>
      <c r="OUS365" s="1"/>
      <c r="OVA365" s="1"/>
      <c r="OVI365" s="1"/>
      <c r="OVQ365" s="1"/>
      <c r="OVY365" s="1"/>
      <c r="OWG365" s="1"/>
      <c r="OWO365" s="1"/>
      <c r="OWW365" s="1"/>
      <c r="OXE365" s="1"/>
      <c r="OXM365" s="1"/>
      <c r="OXU365" s="1"/>
      <c r="OYC365" s="1"/>
      <c r="OYK365" s="1"/>
      <c r="OYS365" s="1"/>
      <c r="OZA365" s="1"/>
      <c r="OZI365" s="1"/>
      <c r="OZQ365" s="1"/>
      <c r="OZY365" s="1"/>
      <c r="PAG365" s="1"/>
      <c r="PAO365" s="1"/>
      <c r="PAW365" s="1"/>
      <c r="PBE365" s="1"/>
      <c r="PBM365" s="1"/>
      <c r="PBU365" s="1"/>
      <c r="PCC365" s="1"/>
      <c r="PCK365" s="1"/>
      <c r="PCS365" s="1"/>
      <c r="PDA365" s="1"/>
      <c r="PDI365" s="1"/>
      <c r="PDQ365" s="1"/>
      <c r="PDY365" s="1"/>
      <c r="PEG365" s="1"/>
      <c r="PEO365" s="1"/>
      <c r="PEW365" s="1"/>
      <c r="PFE365" s="1"/>
      <c r="PFM365" s="1"/>
      <c r="PFU365" s="1"/>
      <c r="PGC365" s="1"/>
      <c r="PGK365" s="1"/>
      <c r="PGS365" s="1"/>
      <c r="PHA365" s="1"/>
      <c r="PHI365" s="1"/>
      <c r="PHQ365" s="1"/>
      <c r="PHY365" s="1"/>
      <c r="PIG365" s="1"/>
      <c r="PIO365" s="1"/>
      <c r="PIW365" s="1"/>
      <c r="PJE365" s="1"/>
      <c r="PJM365" s="1"/>
      <c r="PJU365" s="1"/>
      <c r="PKC365" s="1"/>
      <c r="PKK365" s="1"/>
      <c r="PKS365" s="1"/>
      <c r="PLA365" s="1"/>
      <c r="PLI365" s="1"/>
      <c r="PLQ365" s="1"/>
      <c r="PLY365" s="1"/>
      <c r="PMG365" s="1"/>
      <c r="PMO365" s="1"/>
      <c r="PMW365" s="1"/>
      <c r="PNE365" s="1"/>
      <c r="PNM365" s="1"/>
      <c r="PNU365" s="1"/>
      <c r="POC365" s="1"/>
      <c r="POK365" s="1"/>
      <c r="POS365" s="1"/>
      <c r="PPA365" s="1"/>
      <c r="PPI365" s="1"/>
      <c r="PPQ365" s="1"/>
      <c r="PPY365" s="1"/>
      <c r="PQG365" s="1"/>
      <c r="PQO365" s="1"/>
      <c r="PQW365" s="1"/>
      <c r="PRE365" s="1"/>
      <c r="PRM365" s="1"/>
      <c r="PRU365" s="1"/>
      <c r="PSC365" s="1"/>
      <c r="PSK365" s="1"/>
      <c r="PSS365" s="1"/>
      <c r="PTA365" s="1"/>
      <c r="PTI365" s="1"/>
      <c r="PTQ365" s="1"/>
      <c r="PTY365" s="1"/>
      <c r="PUG365" s="1"/>
      <c r="PUO365" s="1"/>
      <c r="PUW365" s="1"/>
      <c r="PVE365" s="1"/>
      <c r="PVM365" s="1"/>
      <c r="PVU365" s="1"/>
      <c r="PWC365" s="1"/>
      <c r="PWK365" s="1"/>
      <c r="PWS365" s="1"/>
      <c r="PXA365" s="1"/>
      <c r="PXI365" s="1"/>
      <c r="PXQ365" s="1"/>
      <c r="PXY365" s="1"/>
      <c r="PYG365" s="1"/>
      <c r="PYO365" s="1"/>
      <c r="PYW365" s="1"/>
      <c r="PZE365" s="1"/>
      <c r="PZM365" s="1"/>
      <c r="PZU365" s="1"/>
      <c r="QAC365" s="1"/>
      <c r="QAK365" s="1"/>
      <c r="QAS365" s="1"/>
      <c r="QBA365" s="1"/>
      <c r="QBI365" s="1"/>
      <c r="QBQ365" s="1"/>
      <c r="QBY365" s="1"/>
      <c r="QCG365" s="1"/>
      <c r="QCO365" s="1"/>
      <c r="QCW365" s="1"/>
      <c r="QDE365" s="1"/>
      <c r="QDM365" s="1"/>
      <c r="QDU365" s="1"/>
      <c r="QEC365" s="1"/>
      <c r="QEK365" s="1"/>
      <c r="QES365" s="1"/>
      <c r="QFA365" s="1"/>
      <c r="QFI365" s="1"/>
      <c r="QFQ365" s="1"/>
      <c r="QFY365" s="1"/>
      <c r="QGG365" s="1"/>
      <c r="QGO365" s="1"/>
      <c r="QGW365" s="1"/>
      <c r="QHE365" s="1"/>
      <c r="QHM365" s="1"/>
      <c r="QHU365" s="1"/>
      <c r="QIC365" s="1"/>
      <c r="QIK365" s="1"/>
      <c r="QIS365" s="1"/>
      <c r="QJA365" s="1"/>
      <c r="QJI365" s="1"/>
      <c r="QJQ365" s="1"/>
      <c r="QJY365" s="1"/>
      <c r="QKG365" s="1"/>
      <c r="QKO365" s="1"/>
      <c r="QKW365" s="1"/>
      <c r="QLE365" s="1"/>
      <c r="QLM365" s="1"/>
      <c r="QLU365" s="1"/>
      <c r="QMC365" s="1"/>
      <c r="QMK365" s="1"/>
      <c r="QMS365" s="1"/>
      <c r="QNA365" s="1"/>
      <c r="QNI365" s="1"/>
      <c r="QNQ365" s="1"/>
      <c r="QNY365" s="1"/>
      <c r="QOG365" s="1"/>
      <c r="QOO365" s="1"/>
      <c r="QOW365" s="1"/>
      <c r="QPE365" s="1"/>
      <c r="QPM365" s="1"/>
      <c r="QPU365" s="1"/>
      <c r="QQC365" s="1"/>
      <c r="QQK365" s="1"/>
      <c r="QQS365" s="1"/>
      <c r="QRA365" s="1"/>
      <c r="QRI365" s="1"/>
      <c r="QRQ365" s="1"/>
      <c r="QRY365" s="1"/>
      <c r="QSG365" s="1"/>
      <c r="QSO365" s="1"/>
      <c r="QSW365" s="1"/>
      <c r="QTE365" s="1"/>
      <c r="QTM365" s="1"/>
      <c r="QTU365" s="1"/>
      <c r="QUC365" s="1"/>
      <c r="QUK365" s="1"/>
      <c r="QUS365" s="1"/>
      <c r="QVA365" s="1"/>
      <c r="QVI365" s="1"/>
      <c r="QVQ365" s="1"/>
      <c r="QVY365" s="1"/>
      <c r="QWG365" s="1"/>
      <c r="QWO365" s="1"/>
      <c r="QWW365" s="1"/>
      <c r="QXE365" s="1"/>
      <c r="QXM365" s="1"/>
      <c r="QXU365" s="1"/>
      <c r="QYC365" s="1"/>
      <c r="QYK365" s="1"/>
      <c r="QYS365" s="1"/>
      <c r="QZA365" s="1"/>
      <c r="QZI365" s="1"/>
      <c r="QZQ365" s="1"/>
      <c r="QZY365" s="1"/>
      <c r="RAG365" s="1"/>
      <c r="RAO365" s="1"/>
      <c r="RAW365" s="1"/>
      <c r="RBE365" s="1"/>
      <c r="RBM365" s="1"/>
      <c r="RBU365" s="1"/>
      <c r="RCC365" s="1"/>
      <c r="RCK365" s="1"/>
      <c r="RCS365" s="1"/>
      <c r="RDA365" s="1"/>
      <c r="RDI365" s="1"/>
      <c r="RDQ365" s="1"/>
      <c r="RDY365" s="1"/>
      <c r="REG365" s="1"/>
      <c r="REO365" s="1"/>
      <c r="REW365" s="1"/>
      <c r="RFE365" s="1"/>
      <c r="RFM365" s="1"/>
      <c r="RFU365" s="1"/>
      <c r="RGC365" s="1"/>
      <c r="RGK365" s="1"/>
      <c r="RGS365" s="1"/>
      <c r="RHA365" s="1"/>
      <c r="RHI365" s="1"/>
      <c r="RHQ365" s="1"/>
      <c r="RHY365" s="1"/>
      <c r="RIG365" s="1"/>
      <c r="RIO365" s="1"/>
      <c r="RIW365" s="1"/>
      <c r="RJE365" s="1"/>
      <c r="RJM365" s="1"/>
      <c r="RJU365" s="1"/>
      <c r="RKC365" s="1"/>
      <c r="RKK365" s="1"/>
      <c r="RKS365" s="1"/>
      <c r="RLA365" s="1"/>
      <c r="RLI365" s="1"/>
      <c r="RLQ365" s="1"/>
      <c r="RLY365" s="1"/>
      <c r="RMG365" s="1"/>
      <c r="RMO365" s="1"/>
      <c r="RMW365" s="1"/>
      <c r="RNE365" s="1"/>
      <c r="RNM365" s="1"/>
      <c r="RNU365" s="1"/>
      <c r="ROC365" s="1"/>
      <c r="ROK365" s="1"/>
      <c r="ROS365" s="1"/>
      <c r="RPA365" s="1"/>
      <c r="RPI365" s="1"/>
      <c r="RPQ365" s="1"/>
      <c r="RPY365" s="1"/>
      <c r="RQG365" s="1"/>
      <c r="RQO365" s="1"/>
      <c r="RQW365" s="1"/>
      <c r="RRE365" s="1"/>
      <c r="RRM365" s="1"/>
      <c r="RRU365" s="1"/>
      <c r="RSC365" s="1"/>
      <c r="RSK365" s="1"/>
      <c r="RSS365" s="1"/>
      <c r="RTA365" s="1"/>
      <c r="RTI365" s="1"/>
      <c r="RTQ365" s="1"/>
      <c r="RTY365" s="1"/>
      <c r="RUG365" s="1"/>
      <c r="RUO365" s="1"/>
      <c r="RUW365" s="1"/>
      <c r="RVE365" s="1"/>
      <c r="RVM365" s="1"/>
      <c r="RVU365" s="1"/>
      <c r="RWC365" s="1"/>
      <c r="RWK365" s="1"/>
      <c r="RWS365" s="1"/>
      <c r="RXA365" s="1"/>
      <c r="RXI365" s="1"/>
      <c r="RXQ365" s="1"/>
      <c r="RXY365" s="1"/>
      <c r="RYG365" s="1"/>
      <c r="RYO365" s="1"/>
      <c r="RYW365" s="1"/>
      <c r="RZE365" s="1"/>
      <c r="RZM365" s="1"/>
      <c r="RZU365" s="1"/>
      <c r="SAC365" s="1"/>
      <c r="SAK365" s="1"/>
      <c r="SAS365" s="1"/>
      <c r="SBA365" s="1"/>
      <c r="SBI365" s="1"/>
      <c r="SBQ365" s="1"/>
      <c r="SBY365" s="1"/>
      <c r="SCG365" s="1"/>
      <c r="SCO365" s="1"/>
      <c r="SCW365" s="1"/>
      <c r="SDE365" s="1"/>
      <c r="SDM365" s="1"/>
      <c r="SDU365" s="1"/>
      <c r="SEC365" s="1"/>
      <c r="SEK365" s="1"/>
      <c r="SES365" s="1"/>
      <c r="SFA365" s="1"/>
      <c r="SFI365" s="1"/>
      <c r="SFQ365" s="1"/>
      <c r="SFY365" s="1"/>
      <c r="SGG365" s="1"/>
      <c r="SGO365" s="1"/>
      <c r="SGW365" s="1"/>
      <c r="SHE365" s="1"/>
      <c r="SHM365" s="1"/>
      <c r="SHU365" s="1"/>
      <c r="SIC365" s="1"/>
      <c r="SIK365" s="1"/>
      <c r="SIS365" s="1"/>
      <c r="SJA365" s="1"/>
      <c r="SJI365" s="1"/>
      <c r="SJQ365" s="1"/>
      <c r="SJY365" s="1"/>
      <c r="SKG365" s="1"/>
      <c r="SKO365" s="1"/>
      <c r="SKW365" s="1"/>
      <c r="SLE365" s="1"/>
      <c r="SLM365" s="1"/>
      <c r="SLU365" s="1"/>
      <c r="SMC365" s="1"/>
      <c r="SMK365" s="1"/>
      <c r="SMS365" s="1"/>
      <c r="SNA365" s="1"/>
      <c r="SNI365" s="1"/>
      <c r="SNQ365" s="1"/>
      <c r="SNY365" s="1"/>
      <c r="SOG365" s="1"/>
      <c r="SOO365" s="1"/>
      <c r="SOW365" s="1"/>
      <c r="SPE365" s="1"/>
      <c r="SPM365" s="1"/>
      <c r="SPU365" s="1"/>
      <c r="SQC365" s="1"/>
      <c r="SQK365" s="1"/>
      <c r="SQS365" s="1"/>
      <c r="SRA365" s="1"/>
      <c r="SRI365" s="1"/>
      <c r="SRQ365" s="1"/>
      <c r="SRY365" s="1"/>
      <c r="SSG365" s="1"/>
      <c r="SSO365" s="1"/>
      <c r="SSW365" s="1"/>
      <c r="STE365" s="1"/>
      <c r="STM365" s="1"/>
      <c r="STU365" s="1"/>
      <c r="SUC365" s="1"/>
      <c r="SUK365" s="1"/>
      <c r="SUS365" s="1"/>
      <c r="SVA365" s="1"/>
      <c r="SVI365" s="1"/>
      <c r="SVQ365" s="1"/>
      <c r="SVY365" s="1"/>
      <c r="SWG365" s="1"/>
      <c r="SWO365" s="1"/>
      <c r="SWW365" s="1"/>
      <c r="SXE365" s="1"/>
      <c r="SXM365" s="1"/>
      <c r="SXU365" s="1"/>
      <c r="SYC365" s="1"/>
      <c r="SYK365" s="1"/>
      <c r="SYS365" s="1"/>
      <c r="SZA365" s="1"/>
      <c r="SZI365" s="1"/>
      <c r="SZQ365" s="1"/>
      <c r="SZY365" s="1"/>
      <c r="TAG365" s="1"/>
      <c r="TAO365" s="1"/>
      <c r="TAW365" s="1"/>
      <c r="TBE365" s="1"/>
      <c r="TBM365" s="1"/>
      <c r="TBU365" s="1"/>
      <c r="TCC365" s="1"/>
      <c r="TCK365" s="1"/>
      <c r="TCS365" s="1"/>
      <c r="TDA365" s="1"/>
      <c r="TDI365" s="1"/>
      <c r="TDQ365" s="1"/>
      <c r="TDY365" s="1"/>
      <c r="TEG365" s="1"/>
      <c r="TEO365" s="1"/>
      <c r="TEW365" s="1"/>
      <c r="TFE365" s="1"/>
      <c r="TFM365" s="1"/>
      <c r="TFU365" s="1"/>
      <c r="TGC365" s="1"/>
      <c r="TGK365" s="1"/>
      <c r="TGS365" s="1"/>
      <c r="THA365" s="1"/>
      <c r="THI365" s="1"/>
      <c r="THQ365" s="1"/>
      <c r="THY365" s="1"/>
      <c r="TIG365" s="1"/>
      <c r="TIO365" s="1"/>
      <c r="TIW365" s="1"/>
      <c r="TJE365" s="1"/>
      <c r="TJM365" s="1"/>
      <c r="TJU365" s="1"/>
      <c r="TKC365" s="1"/>
      <c r="TKK365" s="1"/>
      <c r="TKS365" s="1"/>
      <c r="TLA365" s="1"/>
      <c r="TLI365" s="1"/>
      <c r="TLQ365" s="1"/>
      <c r="TLY365" s="1"/>
      <c r="TMG365" s="1"/>
      <c r="TMO365" s="1"/>
      <c r="TMW365" s="1"/>
      <c r="TNE365" s="1"/>
      <c r="TNM365" s="1"/>
      <c r="TNU365" s="1"/>
      <c r="TOC365" s="1"/>
      <c r="TOK365" s="1"/>
      <c r="TOS365" s="1"/>
      <c r="TPA365" s="1"/>
      <c r="TPI365" s="1"/>
      <c r="TPQ365" s="1"/>
      <c r="TPY365" s="1"/>
      <c r="TQG365" s="1"/>
      <c r="TQO365" s="1"/>
      <c r="TQW365" s="1"/>
      <c r="TRE365" s="1"/>
      <c r="TRM365" s="1"/>
      <c r="TRU365" s="1"/>
      <c r="TSC365" s="1"/>
      <c r="TSK365" s="1"/>
      <c r="TSS365" s="1"/>
      <c r="TTA365" s="1"/>
      <c r="TTI365" s="1"/>
      <c r="TTQ365" s="1"/>
      <c r="TTY365" s="1"/>
      <c r="TUG365" s="1"/>
      <c r="TUO365" s="1"/>
      <c r="TUW365" s="1"/>
      <c r="TVE365" s="1"/>
      <c r="TVM365" s="1"/>
      <c r="TVU365" s="1"/>
      <c r="TWC365" s="1"/>
      <c r="TWK365" s="1"/>
      <c r="TWS365" s="1"/>
      <c r="TXA365" s="1"/>
      <c r="TXI365" s="1"/>
      <c r="TXQ365" s="1"/>
      <c r="TXY365" s="1"/>
      <c r="TYG365" s="1"/>
      <c r="TYO365" s="1"/>
      <c r="TYW365" s="1"/>
      <c r="TZE365" s="1"/>
      <c r="TZM365" s="1"/>
      <c r="TZU365" s="1"/>
      <c r="UAC365" s="1"/>
      <c r="UAK365" s="1"/>
      <c r="UAS365" s="1"/>
      <c r="UBA365" s="1"/>
      <c r="UBI365" s="1"/>
      <c r="UBQ365" s="1"/>
      <c r="UBY365" s="1"/>
      <c r="UCG365" s="1"/>
      <c r="UCO365" s="1"/>
      <c r="UCW365" s="1"/>
      <c r="UDE365" s="1"/>
      <c r="UDM365" s="1"/>
      <c r="UDU365" s="1"/>
      <c r="UEC365" s="1"/>
      <c r="UEK365" s="1"/>
      <c r="UES365" s="1"/>
      <c r="UFA365" s="1"/>
      <c r="UFI365" s="1"/>
      <c r="UFQ365" s="1"/>
      <c r="UFY365" s="1"/>
      <c r="UGG365" s="1"/>
      <c r="UGO365" s="1"/>
      <c r="UGW365" s="1"/>
      <c r="UHE365" s="1"/>
      <c r="UHM365" s="1"/>
      <c r="UHU365" s="1"/>
      <c r="UIC365" s="1"/>
      <c r="UIK365" s="1"/>
      <c r="UIS365" s="1"/>
      <c r="UJA365" s="1"/>
      <c r="UJI365" s="1"/>
      <c r="UJQ365" s="1"/>
      <c r="UJY365" s="1"/>
      <c r="UKG365" s="1"/>
      <c r="UKO365" s="1"/>
      <c r="UKW365" s="1"/>
      <c r="ULE365" s="1"/>
      <c r="ULM365" s="1"/>
      <c r="ULU365" s="1"/>
      <c r="UMC365" s="1"/>
      <c r="UMK365" s="1"/>
      <c r="UMS365" s="1"/>
      <c r="UNA365" s="1"/>
      <c r="UNI365" s="1"/>
      <c r="UNQ365" s="1"/>
      <c r="UNY365" s="1"/>
      <c r="UOG365" s="1"/>
      <c r="UOO365" s="1"/>
      <c r="UOW365" s="1"/>
      <c r="UPE365" s="1"/>
      <c r="UPM365" s="1"/>
      <c r="UPU365" s="1"/>
      <c r="UQC365" s="1"/>
      <c r="UQK365" s="1"/>
      <c r="UQS365" s="1"/>
      <c r="URA365" s="1"/>
      <c r="URI365" s="1"/>
      <c r="URQ365" s="1"/>
      <c r="URY365" s="1"/>
      <c r="USG365" s="1"/>
      <c r="USO365" s="1"/>
      <c r="USW365" s="1"/>
      <c r="UTE365" s="1"/>
      <c r="UTM365" s="1"/>
      <c r="UTU365" s="1"/>
      <c r="UUC365" s="1"/>
      <c r="UUK365" s="1"/>
      <c r="UUS365" s="1"/>
      <c r="UVA365" s="1"/>
      <c r="UVI365" s="1"/>
      <c r="UVQ365" s="1"/>
      <c r="UVY365" s="1"/>
      <c r="UWG365" s="1"/>
      <c r="UWO365" s="1"/>
      <c r="UWW365" s="1"/>
      <c r="UXE365" s="1"/>
      <c r="UXM365" s="1"/>
      <c r="UXU365" s="1"/>
      <c r="UYC365" s="1"/>
      <c r="UYK365" s="1"/>
      <c r="UYS365" s="1"/>
      <c r="UZA365" s="1"/>
      <c r="UZI365" s="1"/>
      <c r="UZQ365" s="1"/>
      <c r="UZY365" s="1"/>
      <c r="VAG365" s="1"/>
      <c r="VAO365" s="1"/>
      <c r="VAW365" s="1"/>
      <c r="VBE365" s="1"/>
      <c r="VBM365" s="1"/>
      <c r="VBU365" s="1"/>
      <c r="VCC365" s="1"/>
      <c r="VCK365" s="1"/>
      <c r="VCS365" s="1"/>
      <c r="VDA365" s="1"/>
      <c r="VDI365" s="1"/>
      <c r="VDQ365" s="1"/>
      <c r="VDY365" s="1"/>
      <c r="VEG365" s="1"/>
      <c r="VEO365" s="1"/>
      <c r="VEW365" s="1"/>
      <c r="VFE365" s="1"/>
      <c r="VFM365" s="1"/>
      <c r="VFU365" s="1"/>
      <c r="VGC365" s="1"/>
      <c r="VGK365" s="1"/>
      <c r="VGS365" s="1"/>
      <c r="VHA365" s="1"/>
      <c r="VHI365" s="1"/>
      <c r="VHQ365" s="1"/>
      <c r="VHY365" s="1"/>
      <c r="VIG365" s="1"/>
      <c r="VIO365" s="1"/>
      <c r="VIW365" s="1"/>
      <c r="VJE365" s="1"/>
      <c r="VJM365" s="1"/>
      <c r="VJU365" s="1"/>
      <c r="VKC365" s="1"/>
      <c r="VKK365" s="1"/>
      <c r="VKS365" s="1"/>
      <c r="VLA365" s="1"/>
      <c r="VLI365" s="1"/>
      <c r="VLQ365" s="1"/>
      <c r="VLY365" s="1"/>
      <c r="VMG365" s="1"/>
      <c r="VMO365" s="1"/>
      <c r="VMW365" s="1"/>
      <c r="VNE365" s="1"/>
      <c r="VNM365" s="1"/>
      <c r="VNU365" s="1"/>
      <c r="VOC365" s="1"/>
      <c r="VOK365" s="1"/>
      <c r="VOS365" s="1"/>
      <c r="VPA365" s="1"/>
      <c r="VPI365" s="1"/>
      <c r="VPQ365" s="1"/>
      <c r="VPY365" s="1"/>
      <c r="VQG365" s="1"/>
      <c r="VQO365" s="1"/>
      <c r="VQW365" s="1"/>
      <c r="VRE365" s="1"/>
      <c r="VRM365" s="1"/>
      <c r="VRU365" s="1"/>
      <c r="VSC365" s="1"/>
      <c r="VSK365" s="1"/>
      <c r="VSS365" s="1"/>
      <c r="VTA365" s="1"/>
      <c r="VTI365" s="1"/>
      <c r="VTQ365" s="1"/>
      <c r="VTY365" s="1"/>
      <c r="VUG365" s="1"/>
      <c r="VUO365" s="1"/>
      <c r="VUW365" s="1"/>
      <c r="VVE365" s="1"/>
      <c r="VVM365" s="1"/>
      <c r="VVU365" s="1"/>
      <c r="VWC365" s="1"/>
      <c r="VWK365" s="1"/>
      <c r="VWS365" s="1"/>
      <c r="VXA365" s="1"/>
      <c r="VXI365" s="1"/>
      <c r="VXQ365" s="1"/>
      <c r="VXY365" s="1"/>
      <c r="VYG365" s="1"/>
      <c r="VYO365" s="1"/>
      <c r="VYW365" s="1"/>
      <c r="VZE365" s="1"/>
      <c r="VZM365" s="1"/>
      <c r="VZU365" s="1"/>
      <c r="WAC365" s="1"/>
      <c r="WAK365" s="1"/>
      <c r="WAS365" s="1"/>
      <c r="WBA365" s="1"/>
      <c r="WBI365" s="1"/>
      <c r="WBQ365" s="1"/>
      <c r="WBY365" s="1"/>
      <c r="WCG365" s="1"/>
      <c r="WCO365" s="1"/>
      <c r="WCW365" s="1"/>
      <c r="WDE365" s="1"/>
      <c r="WDM365" s="1"/>
      <c r="WDU365" s="1"/>
      <c r="WEC365" s="1"/>
      <c r="WEK365" s="1"/>
      <c r="WES365" s="1"/>
      <c r="WFA365" s="1"/>
      <c r="WFI365" s="1"/>
      <c r="WFQ365" s="1"/>
      <c r="WFY365" s="1"/>
      <c r="WGG365" s="1"/>
      <c r="WGO365" s="1"/>
      <c r="WGW365" s="1"/>
      <c r="WHE365" s="1"/>
      <c r="WHM365" s="1"/>
      <c r="WHU365" s="1"/>
      <c r="WIC365" s="1"/>
      <c r="WIK365" s="1"/>
      <c r="WIS365" s="1"/>
      <c r="WJA365" s="1"/>
      <c r="WJI365" s="1"/>
      <c r="WJQ365" s="1"/>
      <c r="WJY365" s="1"/>
      <c r="WKG365" s="1"/>
      <c r="WKO365" s="1"/>
      <c r="WKW365" s="1"/>
      <c r="WLE365" s="1"/>
      <c r="WLM365" s="1"/>
      <c r="WLU365" s="1"/>
      <c r="WMC365" s="1"/>
      <c r="WMK365" s="1"/>
      <c r="WMS365" s="1"/>
      <c r="WNA365" s="1"/>
      <c r="WNI365" s="1"/>
      <c r="WNQ365" s="1"/>
      <c r="WNY365" s="1"/>
      <c r="WOG365" s="1"/>
      <c r="WOO365" s="1"/>
      <c r="WOW365" s="1"/>
      <c r="WPE365" s="1"/>
      <c r="WPM365" s="1"/>
      <c r="WPU365" s="1"/>
      <c r="WQC365" s="1"/>
      <c r="WQK365" s="1"/>
      <c r="WQS365" s="1"/>
      <c r="WRA365" s="1"/>
      <c r="WRI365" s="1"/>
      <c r="WRQ365" s="1"/>
      <c r="WRY365" s="1"/>
      <c r="WSG365" s="1"/>
      <c r="WSO365" s="1"/>
      <c r="WSW365" s="1"/>
      <c r="WTE365" s="1"/>
      <c r="WTM365" s="1"/>
      <c r="WTU365" s="1"/>
      <c r="WUC365" s="1"/>
      <c r="WUK365" s="1"/>
      <c r="WUS365" s="1"/>
      <c r="WVA365" s="1"/>
      <c r="WVI365" s="1"/>
      <c r="WVQ365" s="1"/>
      <c r="WVY365" s="1"/>
      <c r="WWG365" s="1"/>
      <c r="WWO365" s="1"/>
      <c r="WWW365" s="1"/>
      <c r="WXE365" s="1"/>
      <c r="WXM365" s="1"/>
      <c r="WXU365" s="1"/>
      <c r="WYC365" s="1"/>
      <c r="WYK365" s="1"/>
      <c r="WYS365" s="1"/>
      <c r="WZA365" s="1"/>
      <c r="WZI365" s="1"/>
      <c r="WZQ365" s="1"/>
      <c r="WZY365" s="1"/>
      <c r="XAG365" s="1"/>
      <c r="XAO365" s="1"/>
      <c r="XAW365" s="1"/>
      <c r="XBE365" s="1"/>
      <c r="XBM365" s="1"/>
      <c r="XBU365" s="1"/>
      <c r="XCC365" s="1"/>
      <c r="XCK365" s="1"/>
      <c r="XCS365" s="1"/>
      <c r="XDA365" s="1"/>
      <c r="XDI365" s="1"/>
      <c r="XDQ365" s="1"/>
      <c r="XDY365" s="1"/>
      <c r="XEG365" s="1"/>
      <c r="XEO365" s="1"/>
      <c r="XEW365" s="1"/>
    </row>
    <row r="366" spans="1:1017 1025:2041 2049:3065 3073:4089 4097:5113 5121:6137 6145:7161 7169:8185 8193:9209 9217:10233 10241:11257 11265:12281 12289:13305 13313:14329 14337:15353 15361:16377" s="1" customFormat="1">
      <c r="A366" t="s">
        <v>1</v>
      </c>
      <c r="B366" t="s">
        <v>194</v>
      </c>
      <c r="C366"/>
      <c r="D366"/>
      <c r="E366"/>
      <c r="F366"/>
      <c r="G366"/>
      <c r="H366"/>
      <c r="I366"/>
    </row>
    <row r="367" spans="1:1017 1025:2041 2049:3065 3073:4089 4097:5113 5121:6137 6145:7161 7169:8185 8193:9209 9217:10233 10241:11257 11265:12281 12289:13305 13313:14329 14337:15353 15361:16377">
      <c r="A367" t="s">
        <v>13</v>
      </c>
      <c r="B367" t="s">
        <v>1219</v>
      </c>
    </row>
    <row r="368" spans="1:1017 1025:2041 2049:3065 3073:4089 4097:5113 5121:6137 6145:7161 7169:8185 8193:9209 9217:10233 10241:11257 11265:12281 12289:13305 13313:14329 14337:15353 15361:16377">
      <c r="A368" s="1" t="s">
        <v>14</v>
      </c>
      <c r="I368" s="1"/>
    </row>
    <row r="369" spans="1:10">
      <c r="A369" s="1" t="s">
        <v>15</v>
      </c>
      <c r="B369" s="1" t="s">
        <v>16</v>
      </c>
      <c r="C369" s="1" t="s">
        <v>17</v>
      </c>
      <c r="D369" s="1" t="s">
        <v>1</v>
      </c>
      <c r="E369" s="1" t="s">
        <v>7</v>
      </c>
      <c r="F369" s="1" t="s">
        <v>5</v>
      </c>
      <c r="G369" s="1" t="s">
        <v>3</v>
      </c>
      <c r="H369" s="1" t="s">
        <v>18</v>
      </c>
      <c r="I369" s="1"/>
    </row>
    <row r="370" spans="1:10">
      <c r="A370" t="s">
        <v>1218</v>
      </c>
      <c r="B370">
        <v>1</v>
      </c>
      <c r="C370" t="s">
        <v>1413</v>
      </c>
      <c r="D370" t="s">
        <v>194</v>
      </c>
      <c r="E370" t="s">
        <v>38</v>
      </c>
      <c r="F370" t="s">
        <v>24</v>
      </c>
      <c r="G370" t="s">
        <v>1227</v>
      </c>
    </row>
    <row r="371" spans="1:10">
      <c r="A371" t="s">
        <v>1038</v>
      </c>
      <c r="B371">
        <v>0.5</v>
      </c>
      <c r="C371" t="s">
        <v>1413</v>
      </c>
      <c r="D371" t="s">
        <v>194</v>
      </c>
      <c r="E371" t="s">
        <v>38</v>
      </c>
      <c r="F371" t="s">
        <v>26</v>
      </c>
      <c r="G371" t="s">
        <v>1227</v>
      </c>
    </row>
    <row r="372" spans="1:10">
      <c r="A372" t="s">
        <v>1119</v>
      </c>
      <c r="B372">
        <v>0.5</v>
      </c>
      <c r="C372" t="s">
        <v>1413</v>
      </c>
      <c r="D372" t="s">
        <v>194</v>
      </c>
      <c r="E372" t="s">
        <v>38</v>
      </c>
      <c r="F372" t="s">
        <v>26</v>
      </c>
      <c r="G372" t="s">
        <v>1227</v>
      </c>
      <c r="J372" s="52"/>
    </row>
    <row r="373" spans="1:10">
      <c r="A373" s="52"/>
      <c r="B373" s="52"/>
      <c r="C373" s="52"/>
      <c r="D373" s="52"/>
      <c r="E373" s="52"/>
      <c r="F373" s="52"/>
      <c r="G373" s="52"/>
      <c r="H373" s="52"/>
      <c r="I373" s="52"/>
    </row>
    <row r="374" spans="1:10">
      <c r="A374" s="1" t="s">
        <v>0</v>
      </c>
      <c r="B374" s="1" t="s">
        <v>1120</v>
      </c>
    </row>
    <row r="375" spans="1:10">
      <c r="A375" t="s">
        <v>1</v>
      </c>
      <c r="B375" t="s">
        <v>194</v>
      </c>
    </row>
    <row r="376" spans="1:10">
      <c r="A376" t="s">
        <v>2</v>
      </c>
      <c r="B376">
        <v>1</v>
      </c>
    </row>
    <row r="377" spans="1:10">
      <c r="A377" t="s">
        <v>3</v>
      </c>
      <c r="B377" t="s">
        <v>1227</v>
      </c>
    </row>
    <row r="378" spans="1:10">
      <c r="A378" t="s">
        <v>5</v>
      </c>
      <c r="B378" t="s">
        <v>6</v>
      </c>
    </row>
    <row r="379" spans="1:10">
      <c r="A379" t="s">
        <v>7</v>
      </c>
      <c r="B379" t="s">
        <v>38</v>
      </c>
    </row>
    <row r="380" spans="1:10">
      <c r="A380" t="s">
        <v>11</v>
      </c>
      <c r="B380" t="s">
        <v>1402</v>
      </c>
    </row>
    <row r="381" spans="1:10">
      <c r="A381" s="1" t="s">
        <v>14</v>
      </c>
      <c r="B381" s="1"/>
      <c r="C381" s="1"/>
      <c r="D381" s="1"/>
      <c r="E381" s="1"/>
      <c r="F381" s="1"/>
      <c r="G381" s="1"/>
      <c r="H381" s="1"/>
    </row>
    <row r="382" spans="1:10">
      <c r="A382" s="1" t="s">
        <v>15</v>
      </c>
      <c r="B382" s="1" t="s">
        <v>16</v>
      </c>
      <c r="C382" s="1" t="s">
        <v>17</v>
      </c>
      <c r="D382" s="1" t="s">
        <v>1</v>
      </c>
      <c r="E382" s="1" t="s">
        <v>7</v>
      </c>
      <c r="F382" s="1" t="s">
        <v>18</v>
      </c>
      <c r="G382" s="1" t="s">
        <v>5</v>
      </c>
      <c r="H382" s="1" t="s">
        <v>3</v>
      </c>
    </row>
    <row r="383" spans="1:10">
      <c r="A383" t="s">
        <v>1120</v>
      </c>
      <c r="B383">
        <v>1</v>
      </c>
      <c r="C383" t="s">
        <v>1413</v>
      </c>
      <c r="D383" t="s">
        <v>194</v>
      </c>
      <c r="E383" t="s">
        <v>38</v>
      </c>
      <c r="G383" t="s">
        <v>24</v>
      </c>
      <c r="H383" t="s">
        <v>1227</v>
      </c>
    </row>
    <row r="384" spans="1:10">
      <c r="A384" t="s">
        <v>1121</v>
      </c>
      <c r="B384" s="5">
        <v>3.0699999999999997E-8</v>
      </c>
      <c r="C384" t="s">
        <v>172</v>
      </c>
      <c r="E384" t="s">
        <v>38</v>
      </c>
      <c r="F384" t="s">
        <v>127</v>
      </c>
      <c r="G384" t="s">
        <v>126</v>
      </c>
    </row>
    <row r="385" spans="1:7">
      <c r="A385" t="s">
        <v>1122</v>
      </c>
      <c r="B385" s="5">
        <v>4.6014800000000002E-6</v>
      </c>
      <c r="C385" t="s">
        <v>172</v>
      </c>
      <c r="E385" t="s">
        <v>38</v>
      </c>
      <c r="F385" t="s">
        <v>127</v>
      </c>
      <c r="G385" t="s">
        <v>126</v>
      </c>
    </row>
    <row r="386" spans="1:7">
      <c r="A386" t="s">
        <v>917</v>
      </c>
      <c r="B386" s="5">
        <v>1.22709E-5</v>
      </c>
      <c r="C386" t="s">
        <v>172</v>
      </c>
      <c r="E386" t="s">
        <v>38</v>
      </c>
      <c r="F386" t="s">
        <v>127</v>
      </c>
      <c r="G386" t="s">
        <v>126</v>
      </c>
    </row>
    <row r="387" spans="1:7">
      <c r="A387" t="s">
        <v>1115</v>
      </c>
      <c r="B387" s="5">
        <v>3.0676599999999998E-10</v>
      </c>
      <c r="C387" t="s">
        <v>172</v>
      </c>
      <c r="E387" t="s">
        <v>38</v>
      </c>
      <c r="F387" t="s">
        <v>127</v>
      </c>
      <c r="G387" t="s">
        <v>126</v>
      </c>
    </row>
    <row r="388" spans="1:7">
      <c r="A388" t="s">
        <v>1041</v>
      </c>
      <c r="B388" s="5">
        <v>2.1474199999999998E-5</v>
      </c>
      <c r="C388" t="s">
        <v>172</v>
      </c>
      <c r="E388" t="s">
        <v>38</v>
      </c>
      <c r="F388" t="s">
        <v>127</v>
      </c>
      <c r="G388" t="s">
        <v>126</v>
      </c>
    </row>
    <row r="389" spans="1:7">
      <c r="A389" t="s">
        <v>621</v>
      </c>
      <c r="B389">
        <v>8.9222937859999991</v>
      </c>
      <c r="C389" t="s">
        <v>172</v>
      </c>
      <c r="E389" t="s">
        <v>38</v>
      </c>
      <c r="F389" t="s">
        <v>127</v>
      </c>
      <c r="G389" t="s">
        <v>126</v>
      </c>
    </row>
    <row r="390" spans="1:7">
      <c r="A390" t="s">
        <v>915</v>
      </c>
      <c r="B390" s="5">
        <v>6.4421899999999994E-5</v>
      </c>
      <c r="C390" t="s">
        <v>172</v>
      </c>
      <c r="E390" t="s">
        <v>38</v>
      </c>
      <c r="F390" t="s">
        <v>127</v>
      </c>
      <c r="G390" t="s">
        <v>126</v>
      </c>
    </row>
    <row r="391" spans="1:7">
      <c r="A391" t="s">
        <v>956</v>
      </c>
      <c r="B391" s="5">
        <v>3.06766E-6</v>
      </c>
      <c r="C391" t="s">
        <v>172</v>
      </c>
      <c r="E391" t="s">
        <v>38</v>
      </c>
      <c r="F391" t="s">
        <v>127</v>
      </c>
      <c r="G391" t="s">
        <v>126</v>
      </c>
    </row>
    <row r="392" spans="1:7">
      <c r="A392" t="s">
        <v>1117</v>
      </c>
      <c r="B392" s="5">
        <v>3.06766E-6</v>
      </c>
      <c r="C392" t="s">
        <v>172</v>
      </c>
      <c r="E392" t="s">
        <v>38</v>
      </c>
      <c r="F392" t="s">
        <v>127</v>
      </c>
      <c r="G392" t="s">
        <v>126</v>
      </c>
    </row>
    <row r="393" spans="1:7">
      <c r="A393" t="s">
        <v>908</v>
      </c>
      <c r="B393" s="5">
        <v>9.2032600000000003E-10</v>
      </c>
      <c r="C393" t="s">
        <v>172</v>
      </c>
      <c r="E393" t="s">
        <v>38</v>
      </c>
      <c r="F393" t="s">
        <v>127</v>
      </c>
      <c r="G393" t="s">
        <v>126</v>
      </c>
    </row>
    <row r="394" spans="1:7">
      <c r="A394" t="s">
        <v>954</v>
      </c>
      <c r="B394">
        <v>6.1356E-5</v>
      </c>
      <c r="C394" t="s">
        <v>172</v>
      </c>
      <c r="E394" t="s">
        <v>38</v>
      </c>
      <c r="F394" t="s">
        <v>127</v>
      </c>
      <c r="G394" t="s">
        <v>126</v>
      </c>
    </row>
    <row r="395" spans="1:7">
      <c r="A395" t="s">
        <v>424</v>
      </c>
      <c r="B395">
        <v>5.4912400000000001E-4</v>
      </c>
      <c r="C395" t="s">
        <v>172</v>
      </c>
      <c r="E395" t="s">
        <v>38</v>
      </c>
      <c r="F395" t="s">
        <v>127</v>
      </c>
      <c r="G395" t="s">
        <v>126</v>
      </c>
    </row>
    <row r="396" spans="1:7">
      <c r="A396" t="s">
        <v>906</v>
      </c>
      <c r="B396" s="5">
        <v>3.0676599999999998E-7</v>
      </c>
      <c r="C396" t="s">
        <v>172</v>
      </c>
      <c r="E396" t="s">
        <v>38</v>
      </c>
      <c r="F396" t="s">
        <v>127</v>
      </c>
      <c r="G396" t="s">
        <v>126</v>
      </c>
    </row>
    <row r="397" spans="1:7">
      <c r="A397" t="s">
        <v>905</v>
      </c>
      <c r="B397" s="5">
        <v>6.1356000000000002E-6</v>
      </c>
      <c r="C397" t="s">
        <v>172</v>
      </c>
      <c r="E397" t="s">
        <v>38</v>
      </c>
      <c r="F397" t="s">
        <v>127</v>
      </c>
      <c r="G397" t="s">
        <v>126</v>
      </c>
    </row>
    <row r="398" spans="1:7">
      <c r="A398" t="s">
        <v>1123</v>
      </c>
      <c r="B398" s="5">
        <v>3.6814199999999997E-5</v>
      </c>
      <c r="C398" t="s">
        <v>172</v>
      </c>
      <c r="E398" t="s">
        <v>38</v>
      </c>
      <c r="F398" t="s">
        <v>127</v>
      </c>
      <c r="G398" t="s">
        <v>126</v>
      </c>
    </row>
    <row r="399" spans="1:7">
      <c r="A399" t="s">
        <v>1124</v>
      </c>
      <c r="B399" s="5">
        <v>6.1356000000000002E-6</v>
      </c>
      <c r="C399" t="s">
        <v>172</v>
      </c>
      <c r="E399" t="s">
        <v>38</v>
      </c>
      <c r="F399" t="s">
        <v>127</v>
      </c>
      <c r="G399" t="s">
        <v>126</v>
      </c>
    </row>
    <row r="400" spans="1:7">
      <c r="A400" t="s">
        <v>1125</v>
      </c>
      <c r="B400" s="5">
        <v>6.1356E-7</v>
      </c>
      <c r="C400" t="s">
        <v>172</v>
      </c>
      <c r="E400" t="s">
        <v>38</v>
      </c>
      <c r="F400" t="s">
        <v>127</v>
      </c>
      <c r="G400" t="s">
        <v>126</v>
      </c>
    </row>
    <row r="401" spans="1:8">
      <c r="A401" t="s">
        <v>887</v>
      </c>
      <c r="B401" s="5">
        <v>1.6872699999999999E-5</v>
      </c>
      <c r="C401" t="s">
        <v>172</v>
      </c>
      <c r="E401" t="s">
        <v>38</v>
      </c>
      <c r="F401" t="s">
        <v>127</v>
      </c>
      <c r="G401" t="s">
        <v>126</v>
      </c>
    </row>
    <row r="402" spans="1:8">
      <c r="A402" t="s">
        <v>1059</v>
      </c>
      <c r="B402" s="5">
        <v>6.1356000000000002E-6</v>
      </c>
      <c r="C402" t="s">
        <v>172</v>
      </c>
      <c r="E402" t="s">
        <v>38</v>
      </c>
      <c r="F402" t="s">
        <v>127</v>
      </c>
      <c r="G402" t="s">
        <v>126</v>
      </c>
    </row>
    <row r="403" spans="1:8">
      <c r="A403" t="s">
        <v>597</v>
      </c>
      <c r="B403">
        <v>0.38038158900000002</v>
      </c>
      <c r="C403" t="s">
        <v>172</v>
      </c>
      <c r="E403" t="s">
        <v>119</v>
      </c>
      <c r="F403" t="s">
        <v>222</v>
      </c>
      <c r="G403" t="s">
        <v>126</v>
      </c>
    </row>
    <row r="404" spans="1:8">
      <c r="A404" t="s">
        <v>1126</v>
      </c>
      <c r="B404" s="5">
        <v>5.3483200000000002E-10</v>
      </c>
      <c r="C404" t="s">
        <v>1367</v>
      </c>
      <c r="D404" t="s">
        <v>34</v>
      </c>
      <c r="E404" t="s">
        <v>7</v>
      </c>
      <c r="G404" t="s">
        <v>26</v>
      </c>
      <c r="H404" t="s">
        <v>617</v>
      </c>
    </row>
    <row r="405" spans="1:8">
      <c r="A405" t="s">
        <v>69</v>
      </c>
      <c r="B405">
        <v>5.32728E-4</v>
      </c>
      <c r="C405" t="s">
        <v>1367</v>
      </c>
      <c r="D405" t="s">
        <v>51</v>
      </c>
      <c r="E405" t="s">
        <v>38</v>
      </c>
      <c r="G405" t="s">
        <v>26</v>
      </c>
      <c r="H405" t="s">
        <v>70</v>
      </c>
    </row>
    <row r="406" spans="1:8">
      <c r="A406" t="s">
        <v>1251</v>
      </c>
      <c r="B406">
        <v>3.6000000000000001E-5</v>
      </c>
      <c r="C406" t="s">
        <v>1367</v>
      </c>
      <c r="D406" t="s">
        <v>34</v>
      </c>
      <c r="E406" t="s">
        <v>38</v>
      </c>
      <c r="G406" t="s">
        <v>26</v>
      </c>
      <c r="H406" t="s">
        <v>1252</v>
      </c>
    </row>
    <row r="407" spans="1:8">
      <c r="A407" t="s">
        <v>1127</v>
      </c>
      <c r="B407">
        <v>3.6240000000000003E-4</v>
      </c>
      <c r="C407" t="s">
        <v>1367</v>
      </c>
      <c r="D407" t="s">
        <v>34</v>
      </c>
      <c r="E407" t="s">
        <v>38</v>
      </c>
      <c r="G407" t="s">
        <v>26</v>
      </c>
      <c r="H407" t="s">
        <v>1128</v>
      </c>
    </row>
    <row r="408" spans="1:8">
      <c r="A408" t="s">
        <v>1129</v>
      </c>
      <c r="B408" s="5">
        <v>2.54628E-9</v>
      </c>
      <c r="C408" t="s">
        <v>1367</v>
      </c>
      <c r="D408" t="s">
        <v>34</v>
      </c>
      <c r="E408" t="s">
        <v>7</v>
      </c>
      <c r="G408" t="s">
        <v>26</v>
      </c>
      <c r="H408" t="s">
        <v>1130</v>
      </c>
    </row>
    <row r="409" spans="1:8">
      <c r="A409" t="s">
        <v>1131</v>
      </c>
      <c r="B409">
        <v>2.796E-5</v>
      </c>
      <c r="C409" t="s">
        <v>1367</v>
      </c>
      <c r="D409" t="s">
        <v>34</v>
      </c>
      <c r="E409" t="s">
        <v>38</v>
      </c>
      <c r="G409" t="s">
        <v>26</v>
      </c>
      <c r="H409" t="s">
        <v>1132</v>
      </c>
    </row>
    <row r="410" spans="1:8">
      <c r="A410" t="s">
        <v>928</v>
      </c>
      <c r="B410">
        <v>1.668E-5</v>
      </c>
      <c r="C410" t="s">
        <v>1367</v>
      </c>
      <c r="D410" t="s">
        <v>34</v>
      </c>
      <c r="E410" t="s">
        <v>38</v>
      </c>
      <c r="G410" t="s">
        <v>26</v>
      </c>
      <c r="H410" t="s">
        <v>927</v>
      </c>
    </row>
    <row r="411" spans="1:8">
      <c r="A411" t="s">
        <v>465</v>
      </c>
      <c r="B411">
        <v>2.0291999999999999E-4</v>
      </c>
      <c r="C411" t="s">
        <v>1367</v>
      </c>
      <c r="D411" t="s">
        <v>34</v>
      </c>
      <c r="E411" t="s">
        <v>38</v>
      </c>
      <c r="G411" t="s">
        <v>26</v>
      </c>
      <c r="H411" t="s">
        <v>466</v>
      </c>
    </row>
    <row r="412" spans="1:8">
      <c r="A412" t="s">
        <v>1133</v>
      </c>
      <c r="B412">
        <v>3.1236000000000002E-4</v>
      </c>
      <c r="C412" t="s">
        <v>1367</v>
      </c>
      <c r="D412" t="s">
        <v>34</v>
      </c>
      <c r="E412" t="s">
        <v>38</v>
      </c>
      <c r="G412" t="s">
        <v>26</v>
      </c>
      <c r="H412" t="s">
        <v>1134</v>
      </c>
    </row>
    <row r="413" spans="1:8">
      <c r="A413" t="s">
        <v>1135</v>
      </c>
      <c r="B413">
        <v>4.8000000000000001E-5</v>
      </c>
      <c r="C413" t="s">
        <v>1367</v>
      </c>
      <c r="D413" t="s">
        <v>51</v>
      </c>
      <c r="E413" t="s">
        <v>38</v>
      </c>
      <c r="G413" t="s">
        <v>26</v>
      </c>
      <c r="H413" t="s">
        <v>1136</v>
      </c>
    </row>
    <row r="414" spans="1:8">
      <c r="A414" t="s">
        <v>121</v>
      </c>
      <c r="B414">
        <v>1.1592E-5</v>
      </c>
      <c r="C414" t="s">
        <v>1367</v>
      </c>
      <c r="D414" t="s">
        <v>34</v>
      </c>
      <c r="E414" t="s">
        <v>38</v>
      </c>
      <c r="G414" t="s">
        <v>26</v>
      </c>
      <c r="H414" t="s">
        <v>122</v>
      </c>
    </row>
    <row r="415" spans="1:8">
      <c r="A415" t="s">
        <v>173</v>
      </c>
      <c r="B415">
        <v>7.538413555</v>
      </c>
      <c r="C415" t="s">
        <v>1367</v>
      </c>
      <c r="D415" t="s">
        <v>169</v>
      </c>
      <c r="E415" t="s">
        <v>38</v>
      </c>
      <c r="G415" t="s">
        <v>26</v>
      </c>
      <c r="H415" t="s">
        <v>174</v>
      </c>
    </row>
    <row r="416" spans="1:8">
      <c r="A416" t="s">
        <v>1028</v>
      </c>
      <c r="B416">
        <v>8.8290199999999997E-4</v>
      </c>
      <c r="C416" t="s">
        <v>1367</v>
      </c>
      <c r="D416" t="s">
        <v>34</v>
      </c>
      <c r="E416" t="s">
        <v>38</v>
      </c>
      <c r="G416" t="s">
        <v>26</v>
      </c>
      <c r="H416" t="s">
        <v>1029</v>
      </c>
    </row>
    <row r="417" spans="1:8">
      <c r="A417" t="s">
        <v>1137</v>
      </c>
      <c r="B417">
        <v>3.7139999999999997E-4</v>
      </c>
      <c r="C417" t="s">
        <v>1367</v>
      </c>
      <c r="D417" t="s">
        <v>34</v>
      </c>
      <c r="E417" t="s">
        <v>38</v>
      </c>
      <c r="G417" t="s">
        <v>26</v>
      </c>
      <c r="H417" t="s">
        <v>1138</v>
      </c>
    </row>
    <row r="418" spans="1:8">
      <c r="A418" t="s">
        <v>1217</v>
      </c>
      <c r="B418">
        <v>-1.233311364</v>
      </c>
      <c r="C418" s="49" t="s">
        <v>1367</v>
      </c>
      <c r="D418" s="49" t="s">
        <v>194</v>
      </c>
      <c r="E418" t="s">
        <v>8</v>
      </c>
      <c r="G418" t="s">
        <v>26</v>
      </c>
      <c r="H418" t="s">
        <v>366</v>
      </c>
    </row>
    <row r="419" spans="1:8">
      <c r="A419" t="s">
        <v>926</v>
      </c>
      <c r="B419">
        <v>3.9191758390000002</v>
      </c>
      <c r="C419" t="s">
        <v>1367</v>
      </c>
      <c r="D419" s="49" t="s">
        <v>194</v>
      </c>
      <c r="E419" t="s">
        <v>119</v>
      </c>
      <c r="G419" t="s">
        <v>26</v>
      </c>
      <c r="H419" t="s">
        <v>925</v>
      </c>
    </row>
    <row r="421" spans="1:8">
      <c r="A421" s="1" t="s">
        <v>0</v>
      </c>
      <c r="B421" s="1" t="s">
        <v>1139</v>
      </c>
    </row>
    <row r="422" spans="1:8">
      <c r="A422" t="s">
        <v>1</v>
      </c>
      <c r="B422" t="s">
        <v>194</v>
      </c>
    </row>
    <row r="423" spans="1:8">
      <c r="A423" t="s">
        <v>2</v>
      </c>
      <c r="B423">
        <v>1</v>
      </c>
    </row>
    <row r="424" spans="1:8">
      <c r="A424" t="s">
        <v>3</v>
      </c>
      <c r="B424" t="s">
        <v>1227</v>
      </c>
    </row>
    <row r="425" spans="1:8">
      <c r="A425" t="s">
        <v>5</v>
      </c>
      <c r="B425" t="s">
        <v>6</v>
      </c>
    </row>
    <row r="426" spans="1:8">
      <c r="A426" t="s">
        <v>7</v>
      </c>
      <c r="B426" t="s">
        <v>38</v>
      </c>
    </row>
    <row r="427" spans="1:8">
      <c r="A427" t="s">
        <v>11</v>
      </c>
      <c r="B427" t="s">
        <v>1403</v>
      </c>
    </row>
    <row r="428" spans="1:8">
      <c r="A428" s="1" t="s">
        <v>14</v>
      </c>
      <c r="B428" s="1"/>
      <c r="C428" s="1"/>
      <c r="D428" s="1"/>
      <c r="E428" s="1"/>
      <c r="F428" s="1"/>
      <c r="G428" s="1"/>
      <c r="H428" s="1"/>
    </row>
    <row r="429" spans="1:8">
      <c r="A429" s="1" t="s">
        <v>15</v>
      </c>
      <c r="B429" s="1" t="s">
        <v>16</v>
      </c>
      <c r="C429" s="1" t="s">
        <v>17</v>
      </c>
      <c r="D429" s="1" t="s">
        <v>1</v>
      </c>
      <c r="E429" s="1" t="s">
        <v>7</v>
      </c>
      <c r="F429" s="1" t="s">
        <v>18</v>
      </c>
      <c r="G429" s="1" t="s">
        <v>5</v>
      </c>
      <c r="H429" s="1" t="s">
        <v>3</v>
      </c>
    </row>
    <row r="430" spans="1:8">
      <c r="A430" t="s">
        <v>1139</v>
      </c>
      <c r="B430">
        <v>1</v>
      </c>
      <c r="C430" t="s">
        <v>1413</v>
      </c>
      <c r="D430" t="s">
        <v>194</v>
      </c>
      <c r="E430" t="s">
        <v>38</v>
      </c>
      <c r="G430" t="s">
        <v>24</v>
      </c>
      <c r="H430" t="s">
        <v>1227</v>
      </c>
    </row>
    <row r="431" spans="1:8">
      <c r="A431" t="s">
        <v>1121</v>
      </c>
      <c r="B431" s="5">
        <v>2.8173500000000001E-8</v>
      </c>
      <c r="C431" t="s">
        <v>172</v>
      </c>
      <c r="E431" t="s">
        <v>38</v>
      </c>
      <c r="F431" t="s">
        <v>127</v>
      </c>
      <c r="G431" t="s">
        <v>126</v>
      </c>
    </row>
    <row r="432" spans="1:8">
      <c r="A432" t="s">
        <v>1122</v>
      </c>
      <c r="B432" s="5">
        <v>4.2260200000000004E-6</v>
      </c>
      <c r="C432" t="s">
        <v>172</v>
      </c>
      <c r="E432" t="s">
        <v>38</v>
      </c>
      <c r="F432" t="s">
        <v>127</v>
      </c>
      <c r="G432" t="s">
        <v>126</v>
      </c>
    </row>
    <row r="433" spans="1:7">
      <c r="A433" t="s">
        <v>917</v>
      </c>
      <c r="B433" s="5">
        <v>1.12697E-5</v>
      </c>
      <c r="C433" t="s">
        <v>172</v>
      </c>
      <c r="E433" t="s">
        <v>38</v>
      </c>
      <c r="F433" t="s">
        <v>127</v>
      </c>
      <c r="G433" t="s">
        <v>126</v>
      </c>
    </row>
    <row r="434" spans="1:7">
      <c r="A434" t="s">
        <v>1115</v>
      </c>
      <c r="B434" s="5">
        <v>2.8173500000000001E-10</v>
      </c>
      <c r="C434" t="s">
        <v>172</v>
      </c>
      <c r="E434" t="s">
        <v>38</v>
      </c>
      <c r="F434" t="s">
        <v>127</v>
      </c>
      <c r="G434" t="s">
        <v>126</v>
      </c>
    </row>
    <row r="435" spans="1:7">
      <c r="A435" t="s">
        <v>1041</v>
      </c>
      <c r="B435">
        <v>1.9721999999999999E-5</v>
      </c>
      <c r="C435" t="s">
        <v>172</v>
      </c>
      <c r="E435" t="s">
        <v>38</v>
      </c>
      <c r="F435" t="s">
        <v>127</v>
      </c>
      <c r="G435" t="s">
        <v>126</v>
      </c>
    </row>
    <row r="436" spans="1:7">
      <c r="A436" t="s">
        <v>621</v>
      </c>
      <c r="B436">
        <v>3.119275354</v>
      </c>
      <c r="C436" t="s">
        <v>172</v>
      </c>
      <c r="E436" t="s">
        <v>38</v>
      </c>
      <c r="F436" t="s">
        <v>127</v>
      </c>
      <c r="G436" t="s">
        <v>126</v>
      </c>
    </row>
    <row r="437" spans="1:7">
      <c r="A437" t="s">
        <v>915</v>
      </c>
      <c r="B437" s="5">
        <v>5.9165400000000001E-5</v>
      </c>
      <c r="C437" t="s">
        <v>172</v>
      </c>
      <c r="E437" t="s">
        <v>38</v>
      </c>
      <c r="F437" t="s">
        <v>127</v>
      </c>
      <c r="G437" t="s">
        <v>126</v>
      </c>
    </row>
    <row r="438" spans="1:7">
      <c r="A438" t="s">
        <v>956</v>
      </c>
      <c r="B438" s="5">
        <v>2.8173499999999998E-6</v>
      </c>
      <c r="C438" t="s">
        <v>172</v>
      </c>
      <c r="E438" t="s">
        <v>38</v>
      </c>
      <c r="F438" t="s">
        <v>127</v>
      </c>
      <c r="G438" t="s">
        <v>126</v>
      </c>
    </row>
    <row r="439" spans="1:7">
      <c r="A439" t="s">
        <v>1117</v>
      </c>
      <c r="B439" s="5">
        <v>2.8173499999999998E-6</v>
      </c>
      <c r="C439" t="s">
        <v>172</v>
      </c>
      <c r="E439" t="s">
        <v>38</v>
      </c>
      <c r="F439" t="s">
        <v>127</v>
      </c>
      <c r="G439" t="s">
        <v>126</v>
      </c>
    </row>
    <row r="440" spans="1:7">
      <c r="A440" t="s">
        <v>908</v>
      </c>
      <c r="B440" s="5">
        <v>8.4523099999999999E-10</v>
      </c>
      <c r="C440" t="s">
        <v>172</v>
      </c>
      <c r="E440" t="s">
        <v>38</v>
      </c>
      <c r="F440" t="s">
        <v>127</v>
      </c>
      <c r="G440" t="s">
        <v>126</v>
      </c>
    </row>
    <row r="441" spans="1:7">
      <c r="A441" t="s">
        <v>954</v>
      </c>
      <c r="B441" s="5">
        <v>5.63496E-5</v>
      </c>
      <c r="C441" t="s">
        <v>172</v>
      </c>
      <c r="E441" t="s">
        <v>38</v>
      </c>
      <c r="F441" t="s">
        <v>127</v>
      </c>
      <c r="G441" t="s">
        <v>126</v>
      </c>
    </row>
    <row r="442" spans="1:7">
      <c r="A442" t="s">
        <v>424</v>
      </c>
      <c r="B442">
        <v>5.04317E-4</v>
      </c>
      <c r="C442" t="s">
        <v>172</v>
      </c>
      <c r="E442" t="s">
        <v>38</v>
      </c>
      <c r="F442" t="s">
        <v>127</v>
      </c>
      <c r="G442" t="s">
        <v>126</v>
      </c>
    </row>
    <row r="443" spans="1:7">
      <c r="A443" t="s">
        <v>906</v>
      </c>
      <c r="B443" s="5">
        <v>2.81735E-7</v>
      </c>
      <c r="C443" t="s">
        <v>172</v>
      </c>
      <c r="E443" t="s">
        <v>38</v>
      </c>
      <c r="F443" t="s">
        <v>127</v>
      </c>
      <c r="G443" t="s">
        <v>126</v>
      </c>
    </row>
    <row r="444" spans="1:7">
      <c r="A444" t="s">
        <v>905</v>
      </c>
      <c r="B444" s="5">
        <v>5.63496E-6</v>
      </c>
      <c r="C444" t="s">
        <v>172</v>
      </c>
      <c r="E444" t="s">
        <v>38</v>
      </c>
      <c r="F444" t="s">
        <v>127</v>
      </c>
      <c r="G444" t="s">
        <v>126</v>
      </c>
    </row>
    <row r="445" spans="1:7">
      <c r="A445" t="s">
        <v>1123</v>
      </c>
      <c r="B445" s="5">
        <v>3.3810299999999997E-5</v>
      </c>
      <c r="C445" t="s">
        <v>172</v>
      </c>
      <c r="E445" t="s">
        <v>38</v>
      </c>
      <c r="F445" t="s">
        <v>127</v>
      </c>
      <c r="G445" t="s">
        <v>126</v>
      </c>
    </row>
    <row r="446" spans="1:7">
      <c r="A446" t="s">
        <v>1124</v>
      </c>
      <c r="B446" s="5">
        <v>5.63496E-6</v>
      </c>
      <c r="C446" t="s">
        <v>172</v>
      </c>
      <c r="E446" t="s">
        <v>38</v>
      </c>
      <c r="F446" t="s">
        <v>127</v>
      </c>
      <c r="G446" t="s">
        <v>126</v>
      </c>
    </row>
    <row r="447" spans="1:7">
      <c r="A447" t="s">
        <v>1125</v>
      </c>
      <c r="B447" s="5">
        <v>5.6349599999999998E-7</v>
      </c>
      <c r="C447" t="s">
        <v>172</v>
      </c>
      <c r="E447" t="s">
        <v>38</v>
      </c>
      <c r="F447" t="s">
        <v>127</v>
      </c>
      <c r="G447" t="s">
        <v>126</v>
      </c>
    </row>
    <row r="448" spans="1:7">
      <c r="A448" t="s">
        <v>887</v>
      </c>
      <c r="B448" s="5">
        <v>1.5495899999999998E-5</v>
      </c>
      <c r="C448" t="s">
        <v>172</v>
      </c>
      <c r="E448" t="s">
        <v>38</v>
      </c>
      <c r="F448" t="s">
        <v>127</v>
      </c>
      <c r="G448" t="s">
        <v>126</v>
      </c>
    </row>
    <row r="449" spans="1:8">
      <c r="A449" t="s">
        <v>1059</v>
      </c>
      <c r="B449" s="5">
        <v>5.63496E-6</v>
      </c>
      <c r="C449" t="s">
        <v>172</v>
      </c>
      <c r="E449" t="s">
        <v>38</v>
      </c>
      <c r="F449" t="s">
        <v>127</v>
      </c>
      <c r="G449" t="s">
        <v>126</v>
      </c>
    </row>
    <row r="450" spans="1:8">
      <c r="A450" t="s">
        <v>597</v>
      </c>
      <c r="B450">
        <v>0.38033800800000001</v>
      </c>
      <c r="C450" t="s">
        <v>172</v>
      </c>
      <c r="E450" t="s">
        <v>119</v>
      </c>
      <c r="F450" t="s">
        <v>222</v>
      </c>
      <c r="G450" t="s">
        <v>126</v>
      </c>
    </row>
    <row r="451" spans="1:8">
      <c r="A451" t="s">
        <v>1140</v>
      </c>
      <c r="B451">
        <v>5.6649583229999996</v>
      </c>
      <c r="C451" t="s">
        <v>1413</v>
      </c>
      <c r="D451" t="s">
        <v>194</v>
      </c>
      <c r="E451" t="s">
        <v>38</v>
      </c>
      <c r="G451" t="s">
        <v>26</v>
      </c>
      <c r="H451" t="s">
        <v>1140</v>
      </c>
    </row>
    <row r="452" spans="1:8">
      <c r="A452" t="s">
        <v>1126</v>
      </c>
      <c r="B452" s="5">
        <v>5.3477100000000001E-10</v>
      </c>
      <c r="C452" t="s">
        <v>1367</v>
      </c>
      <c r="D452" t="s">
        <v>34</v>
      </c>
      <c r="E452" t="s">
        <v>7</v>
      </c>
      <c r="G452" t="s">
        <v>26</v>
      </c>
      <c r="H452" t="s">
        <v>617</v>
      </c>
    </row>
    <row r="453" spans="1:8">
      <c r="A453" t="s">
        <v>69</v>
      </c>
      <c r="B453">
        <v>5.32728E-4</v>
      </c>
      <c r="C453" t="s">
        <v>1367</v>
      </c>
      <c r="D453" t="s">
        <v>51</v>
      </c>
      <c r="E453" t="s">
        <v>38</v>
      </c>
      <c r="G453" t="s">
        <v>26</v>
      </c>
      <c r="H453" t="s">
        <v>70</v>
      </c>
    </row>
    <row r="454" spans="1:8">
      <c r="A454" t="s">
        <v>1251</v>
      </c>
      <c r="B454">
        <v>3.6000000000000001E-5</v>
      </c>
      <c r="C454" t="s">
        <v>1367</v>
      </c>
      <c r="D454" t="s">
        <v>34</v>
      </c>
      <c r="E454" t="s">
        <v>38</v>
      </c>
      <c r="G454" t="s">
        <v>26</v>
      </c>
      <c r="H454" t="s">
        <v>1252</v>
      </c>
    </row>
    <row r="455" spans="1:8">
      <c r="A455" t="s">
        <v>1127</v>
      </c>
      <c r="B455">
        <v>3.6240000000000003E-4</v>
      </c>
      <c r="C455" t="s">
        <v>1367</v>
      </c>
      <c r="D455" t="s">
        <v>34</v>
      </c>
      <c r="E455" t="s">
        <v>38</v>
      </c>
      <c r="G455" t="s">
        <v>26</v>
      </c>
      <c r="H455" t="s">
        <v>1128</v>
      </c>
    </row>
    <row r="456" spans="1:8">
      <c r="A456" t="s">
        <v>1141</v>
      </c>
      <c r="B456">
        <v>1.92609E-4</v>
      </c>
      <c r="C456" t="s">
        <v>1367</v>
      </c>
      <c r="D456" t="s">
        <v>34</v>
      </c>
      <c r="E456" t="s">
        <v>38</v>
      </c>
      <c r="G456" t="s">
        <v>26</v>
      </c>
      <c r="H456" t="s">
        <v>1142</v>
      </c>
    </row>
    <row r="457" spans="1:8">
      <c r="A457" t="s">
        <v>1129</v>
      </c>
      <c r="B457" s="5">
        <v>2.54628E-9</v>
      </c>
      <c r="C457" t="s">
        <v>1367</v>
      </c>
      <c r="D457" t="s">
        <v>34</v>
      </c>
      <c r="E457" t="s">
        <v>7</v>
      </c>
      <c r="G457" t="s">
        <v>26</v>
      </c>
      <c r="H457" t="s">
        <v>1130</v>
      </c>
    </row>
    <row r="458" spans="1:8">
      <c r="A458" t="s">
        <v>1131</v>
      </c>
      <c r="B458">
        <v>2.796E-5</v>
      </c>
      <c r="C458" t="s">
        <v>1367</v>
      </c>
      <c r="D458" t="s">
        <v>34</v>
      </c>
      <c r="E458" t="s">
        <v>38</v>
      </c>
      <c r="G458" t="s">
        <v>26</v>
      </c>
      <c r="H458" t="s">
        <v>1132</v>
      </c>
    </row>
    <row r="459" spans="1:8">
      <c r="A459" t="s">
        <v>928</v>
      </c>
      <c r="B459">
        <v>1.668E-5</v>
      </c>
      <c r="C459" t="s">
        <v>1367</v>
      </c>
      <c r="D459" t="s">
        <v>34</v>
      </c>
      <c r="E459" t="s">
        <v>38</v>
      </c>
      <c r="G459" t="s">
        <v>26</v>
      </c>
      <c r="H459" t="s">
        <v>927</v>
      </c>
    </row>
    <row r="460" spans="1:8">
      <c r="A460" t="s">
        <v>465</v>
      </c>
      <c r="B460">
        <v>2.0291999999999999E-4</v>
      </c>
      <c r="C460" t="s">
        <v>1367</v>
      </c>
      <c r="D460" t="s">
        <v>34</v>
      </c>
      <c r="E460" t="s">
        <v>38</v>
      </c>
      <c r="G460" t="s">
        <v>26</v>
      </c>
      <c r="H460" t="s">
        <v>466</v>
      </c>
    </row>
    <row r="461" spans="1:8">
      <c r="A461" t="s">
        <v>1133</v>
      </c>
      <c r="B461">
        <v>3.1236000000000002E-4</v>
      </c>
      <c r="C461" t="s">
        <v>1367</v>
      </c>
      <c r="D461" t="s">
        <v>34</v>
      </c>
      <c r="E461" t="s">
        <v>38</v>
      </c>
      <c r="G461" t="s">
        <v>26</v>
      </c>
      <c r="H461" t="s">
        <v>1134</v>
      </c>
    </row>
    <row r="462" spans="1:8">
      <c r="A462" t="s">
        <v>1135</v>
      </c>
      <c r="B462">
        <v>4.8000000000000001E-5</v>
      </c>
      <c r="C462" t="s">
        <v>1367</v>
      </c>
      <c r="D462" t="s">
        <v>51</v>
      </c>
      <c r="E462" t="s">
        <v>38</v>
      </c>
      <c r="G462" t="s">
        <v>26</v>
      </c>
      <c r="H462" t="s">
        <v>1136</v>
      </c>
    </row>
    <row r="463" spans="1:8">
      <c r="A463" t="s">
        <v>121</v>
      </c>
      <c r="B463">
        <v>1.1592E-5</v>
      </c>
      <c r="C463" t="s">
        <v>1367</v>
      </c>
      <c r="D463" t="s">
        <v>34</v>
      </c>
      <c r="E463" t="s">
        <v>38</v>
      </c>
      <c r="G463" t="s">
        <v>26</v>
      </c>
      <c r="H463" t="s">
        <v>122</v>
      </c>
    </row>
    <row r="464" spans="1:8">
      <c r="A464" t="s">
        <v>173</v>
      </c>
      <c r="B464">
        <v>7.5375498600000004</v>
      </c>
      <c r="C464" t="s">
        <v>1367</v>
      </c>
      <c r="D464" t="s">
        <v>169</v>
      </c>
      <c r="E464" t="s">
        <v>38</v>
      </c>
      <c r="G464" t="s">
        <v>26</v>
      </c>
      <c r="H464" t="s">
        <v>174</v>
      </c>
    </row>
    <row r="465" spans="1:9">
      <c r="A465" t="s">
        <v>1028</v>
      </c>
      <c r="B465">
        <v>8.8290199999999997E-4</v>
      </c>
      <c r="C465" t="s">
        <v>1367</v>
      </c>
      <c r="D465" t="s">
        <v>34</v>
      </c>
      <c r="E465" t="s">
        <v>38</v>
      </c>
      <c r="G465" t="s">
        <v>26</v>
      </c>
      <c r="H465" t="s">
        <v>1029</v>
      </c>
    </row>
    <row r="466" spans="1:9">
      <c r="A466" t="s">
        <v>1137</v>
      </c>
      <c r="B466">
        <v>3.7139999999999997E-4</v>
      </c>
      <c r="C466" t="s">
        <v>1367</v>
      </c>
      <c r="D466" t="s">
        <v>34</v>
      </c>
      <c r="E466" t="s">
        <v>38</v>
      </c>
      <c r="G466" t="s">
        <v>26</v>
      </c>
      <c r="H466" t="s">
        <v>1138</v>
      </c>
    </row>
    <row r="467" spans="1:9">
      <c r="A467" t="s">
        <v>1217</v>
      </c>
      <c r="B467">
        <v>-0.19999800000000001</v>
      </c>
      <c r="C467" t="s">
        <v>1367</v>
      </c>
      <c r="D467" s="49" t="s">
        <v>194</v>
      </c>
      <c r="E467" t="s">
        <v>8</v>
      </c>
      <c r="G467" t="s">
        <v>26</v>
      </c>
      <c r="H467" t="s">
        <v>366</v>
      </c>
    </row>
    <row r="468" spans="1:9">
      <c r="A468" t="s">
        <v>926</v>
      </c>
      <c r="B468">
        <v>3.8561569699999998</v>
      </c>
      <c r="C468" t="s">
        <v>1367</v>
      </c>
      <c r="D468" s="49" t="s">
        <v>194</v>
      </c>
      <c r="E468" t="s">
        <v>119</v>
      </c>
      <c r="G468" t="s">
        <v>26</v>
      </c>
      <c r="H468" t="s">
        <v>925</v>
      </c>
    </row>
    <row r="470" spans="1:9">
      <c r="A470" s="1" t="s">
        <v>0</v>
      </c>
      <c r="B470" s="1" t="s">
        <v>1220</v>
      </c>
    </row>
    <row r="471" spans="1:9">
      <c r="A471" t="s">
        <v>1</v>
      </c>
      <c r="B471" t="s">
        <v>194</v>
      </c>
    </row>
    <row r="472" spans="1:9">
      <c r="A472" t="s">
        <v>2</v>
      </c>
      <c r="B472">
        <v>1</v>
      </c>
    </row>
    <row r="473" spans="1:9">
      <c r="A473" t="s">
        <v>3</v>
      </c>
      <c r="B473" t="s">
        <v>1227</v>
      </c>
    </row>
    <row r="474" spans="1:9">
      <c r="A474" t="s">
        <v>5</v>
      </c>
      <c r="B474" t="s">
        <v>6</v>
      </c>
    </row>
    <row r="475" spans="1:9">
      <c r="A475" t="s">
        <v>7</v>
      </c>
      <c r="B475" t="s">
        <v>38</v>
      </c>
    </row>
    <row r="476" spans="1:9">
      <c r="A476" t="s">
        <v>11</v>
      </c>
      <c r="B476" t="s">
        <v>1404</v>
      </c>
    </row>
    <row r="477" spans="1:9">
      <c r="A477" s="1" t="s">
        <v>14</v>
      </c>
      <c r="B477" s="1"/>
      <c r="C477" s="1"/>
      <c r="D477" s="1"/>
      <c r="E477" s="1"/>
      <c r="F477" s="1"/>
      <c r="G477" s="1"/>
      <c r="H477" s="1"/>
    </row>
    <row r="478" spans="1:9">
      <c r="A478" s="1" t="s">
        <v>15</v>
      </c>
      <c r="B478" s="1" t="s">
        <v>16</v>
      </c>
      <c r="C478" s="1" t="s">
        <v>17</v>
      </c>
      <c r="D478" s="1" t="s">
        <v>1</v>
      </c>
      <c r="E478" s="1" t="s">
        <v>7</v>
      </c>
      <c r="F478" s="1" t="s">
        <v>18</v>
      </c>
      <c r="G478" s="1" t="s">
        <v>5</v>
      </c>
      <c r="H478" s="1" t="s">
        <v>3</v>
      </c>
      <c r="I478" s="1" t="s">
        <v>898</v>
      </c>
    </row>
    <row r="479" spans="1:9">
      <c r="A479" t="s">
        <v>1220</v>
      </c>
      <c r="B479">
        <v>1</v>
      </c>
      <c r="C479" t="s">
        <v>1413</v>
      </c>
      <c r="D479" t="s">
        <v>194</v>
      </c>
      <c r="E479" t="s">
        <v>38</v>
      </c>
      <c r="G479" t="s">
        <v>24</v>
      </c>
      <c r="H479" t="s">
        <v>1227</v>
      </c>
    </row>
    <row r="480" spans="1:9">
      <c r="A480" t="s">
        <v>1121</v>
      </c>
      <c r="B480" s="5">
        <v>2.8173500000000001E-8</v>
      </c>
      <c r="C480" t="s">
        <v>172</v>
      </c>
      <c r="E480" t="s">
        <v>38</v>
      </c>
      <c r="F480" t="s">
        <v>127</v>
      </c>
      <c r="G480" t="s">
        <v>126</v>
      </c>
    </row>
    <row r="481" spans="1:7">
      <c r="A481" t="s">
        <v>1122</v>
      </c>
      <c r="B481" s="5">
        <v>4.2260200000000004E-6</v>
      </c>
      <c r="C481" t="s">
        <v>172</v>
      </c>
      <c r="E481" t="s">
        <v>38</v>
      </c>
      <c r="F481" t="s">
        <v>127</v>
      </c>
      <c r="G481" t="s">
        <v>126</v>
      </c>
    </row>
    <row r="482" spans="1:7">
      <c r="A482" t="s">
        <v>917</v>
      </c>
      <c r="B482" s="5">
        <v>1.12697E-5</v>
      </c>
      <c r="C482" t="s">
        <v>172</v>
      </c>
      <c r="E482" t="s">
        <v>38</v>
      </c>
      <c r="F482" t="s">
        <v>127</v>
      </c>
      <c r="G482" t="s">
        <v>126</v>
      </c>
    </row>
    <row r="483" spans="1:7">
      <c r="A483" t="s">
        <v>1115</v>
      </c>
      <c r="B483" s="5">
        <v>2.8173500000000001E-10</v>
      </c>
      <c r="C483" t="s">
        <v>172</v>
      </c>
      <c r="E483" t="s">
        <v>38</v>
      </c>
      <c r="F483" t="s">
        <v>127</v>
      </c>
      <c r="G483" t="s">
        <v>126</v>
      </c>
    </row>
    <row r="484" spans="1:7">
      <c r="A484" t="s">
        <v>1041</v>
      </c>
      <c r="B484">
        <v>1.9721999999999999E-5</v>
      </c>
      <c r="C484" t="s">
        <v>172</v>
      </c>
      <c r="E484" t="s">
        <v>38</v>
      </c>
      <c r="F484" t="s">
        <v>127</v>
      </c>
      <c r="G484" t="s">
        <v>126</v>
      </c>
    </row>
    <row r="485" spans="1:7">
      <c r="A485" t="s">
        <v>1116</v>
      </c>
      <c r="B485">
        <v>3.119275354</v>
      </c>
      <c r="C485" t="s">
        <v>172</v>
      </c>
      <c r="E485" t="s">
        <v>38</v>
      </c>
      <c r="F485" t="s">
        <v>127</v>
      </c>
      <c r="G485" t="s">
        <v>126</v>
      </c>
    </row>
    <row r="486" spans="1:7">
      <c r="A486" t="s">
        <v>915</v>
      </c>
      <c r="B486" s="5">
        <v>5.9165400000000001E-5</v>
      </c>
      <c r="C486" t="s">
        <v>172</v>
      </c>
      <c r="E486" t="s">
        <v>38</v>
      </c>
      <c r="F486" t="s">
        <v>127</v>
      </c>
      <c r="G486" t="s">
        <v>126</v>
      </c>
    </row>
    <row r="487" spans="1:7">
      <c r="A487" t="s">
        <v>956</v>
      </c>
      <c r="B487" s="5">
        <v>2.8173499999999998E-6</v>
      </c>
      <c r="C487" t="s">
        <v>172</v>
      </c>
      <c r="E487" t="s">
        <v>38</v>
      </c>
      <c r="F487" t="s">
        <v>127</v>
      </c>
      <c r="G487" t="s">
        <v>126</v>
      </c>
    </row>
    <row r="488" spans="1:7">
      <c r="A488" t="s">
        <v>1117</v>
      </c>
      <c r="B488" s="5">
        <v>2.8173499999999998E-6</v>
      </c>
      <c r="C488" t="s">
        <v>172</v>
      </c>
      <c r="E488" t="s">
        <v>38</v>
      </c>
      <c r="F488" t="s">
        <v>127</v>
      </c>
      <c r="G488" t="s">
        <v>126</v>
      </c>
    </row>
    <row r="489" spans="1:7">
      <c r="A489" t="s">
        <v>908</v>
      </c>
      <c r="B489" s="5">
        <v>8.4523099999999999E-10</v>
      </c>
      <c r="C489" t="s">
        <v>172</v>
      </c>
      <c r="E489" t="s">
        <v>38</v>
      </c>
      <c r="F489" t="s">
        <v>127</v>
      </c>
      <c r="G489" t="s">
        <v>126</v>
      </c>
    </row>
    <row r="490" spans="1:7">
      <c r="A490" t="s">
        <v>954</v>
      </c>
      <c r="B490" s="5">
        <v>5.63496E-5</v>
      </c>
      <c r="C490" t="s">
        <v>172</v>
      </c>
      <c r="E490" t="s">
        <v>38</v>
      </c>
      <c r="F490" t="s">
        <v>127</v>
      </c>
      <c r="G490" t="s">
        <v>126</v>
      </c>
    </row>
    <row r="491" spans="1:7">
      <c r="A491" t="s">
        <v>424</v>
      </c>
      <c r="B491">
        <v>5.04317E-4</v>
      </c>
      <c r="C491" t="s">
        <v>172</v>
      </c>
      <c r="E491" t="s">
        <v>38</v>
      </c>
      <c r="F491" t="s">
        <v>127</v>
      </c>
      <c r="G491" t="s">
        <v>126</v>
      </c>
    </row>
    <row r="492" spans="1:7">
      <c r="A492" t="s">
        <v>906</v>
      </c>
      <c r="B492" s="5">
        <v>2.81735E-7</v>
      </c>
      <c r="C492" t="s">
        <v>172</v>
      </c>
      <c r="E492" t="s">
        <v>38</v>
      </c>
      <c r="F492" t="s">
        <v>127</v>
      </c>
      <c r="G492" t="s">
        <v>126</v>
      </c>
    </row>
    <row r="493" spans="1:7">
      <c r="A493" t="s">
        <v>905</v>
      </c>
      <c r="B493" s="5">
        <v>5.63496E-6</v>
      </c>
      <c r="C493" t="s">
        <v>172</v>
      </c>
      <c r="E493" t="s">
        <v>38</v>
      </c>
      <c r="F493" t="s">
        <v>127</v>
      </c>
      <c r="G493" t="s">
        <v>126</v>
      </c>
    </row>
    <row r="494" spans="1:7">
      <c r="A494" t="s">
        <v>1123</v>
      </c>
      <c r="B494" s="5">
        <v>3.3810299999999997E-5</v>
      </c>
      <c r="C494" t="s">
        <v>172</v>
      </c>
      <c r="E494" t="s">
        <v>38</v>
      </c>
      <c r="F494" t="s">
        <v>127</v>
      </c>
      <c r="G494" t="s">
        <v>126</v>
      </c>
    </row>
    <row r="495" spans="1:7">
      <c r="A495" t="s">
        <v>1124</v>
      </c>
      <c r="B495" s="5">
        <v>5.63496E-6</v>
      </c>
      <c r="C495" t="s">
        <v>172</v>
      </c>
      <c r="E495" t="s">
        <v>38</v>
      </c>
      <c r="F495" t="s">
        <v>127</v>
      </c>
      <c r="G495" t="s">
        <v>126</v>
      </c>
    </row>
    <row r="496" spans="1:7">
      <c r="A496" t="s">
        <v>1125</v>
      </c>
      <c r="B496" s="5">
        <v>5.6349599999999998E-7</v>
      </c>
      <c r="C496" t="s">
        <v>172</v>
      </c>
      <c r="E496" t="s">
        <v>38</v>
      </c>
      <c r="F496" t="s">
        <v>127</v>
      </c>
      <c r="G496" t="s">
        <v>126</v>
      </c>
    </row>
    <row r="497" spans="1:9">
      <c r="A497" t="s">
        <v>887</v>
      </c>
      <c r="B497" s="5">
        <v>1.5495899999999998E-5</v>
      </c>
      <c r="C497" t="s">
        <v>172</v>
      </c>
      <c r="E497" t="s">
        <v>38</v>
      </c>
      <c r="F497" t="s">
        <v>127</v>
      </c>
      <c r="G497" t="s">
        <v>126</v>
      </c>
    </row>
    <row r="498" spans="1:9">
      <c r="A498" t="s">
        <v>1059</v>
      </c>
      <c r="B498" s="5">
        <v>5.63496E-6</v>
      </c>
      <c r="C498" t="s">
        <v>172</v>
      </c>
      <c r="E498" t="s">
        <v>38</v>
      </c>
      <c r="F498" t="s">
        <v>127</v>
      </c>
      <c r="G498" t="s">
        <v>126</v>
      </c>
    </row>
    <row r="499" spans="1:9">
      <c r="A499" t="s">
        <v>597</v>
      </c>
      <c r="B499">
        <v>0.38033800800000001</v>
      </c>
      <c r="C499" t="s">
        <v>172</v>
      </c>
      <c r="E499" t="s">
        <v>119</v>
      </c>
      <c r="F499" t="s">
        <v>222</v>
      </c>
      <c r="G499" t="s">
        <v>126</v>
      </c>
    </row>
    <row r="500" spans="1:9">
      <c r="A500" t="s">
        <v>1140</v>
      </c>
      <c r="B500">
        <v>0</v>
      </c>
      <c r="C500" t="s">
        <v>1413</v>
      </c>
      <c r="D500" t="s">
        <v>194</v>
      </c>
      <c r="E500" t="s">
        <v>38</v>
      </c>
      <c r="G500" t="s">
        <v>26</v>
      </c>
      <c r="H500" t="s">
        <v>1140</v>
      </c>
      <c r="I500" t="s">
        <v>1225</v>
      </c>
    </row>
    <row r="501" spans="1:9">
      <c r="A501" t="s">
        <v>1126</v>
      </c>
      <c r="B501" s="5">
        <v>5.3477100000000001E-10</v>
      </c>
      <c r="C501" t="s">
        <v>1367</v>
      </c>
      <c r="D501" t="s">
        <v>34</v>
      </c>
      <c r="E501" t="s">
        <v>7</v>
      </c>
      <c r="G501" t="s">
        <v>26</v>
      </c>
      <c r="H501" t="s">
        <v>617</v>
      </c>
    </row>
    <row r="502" spans="1:9">
      <c r="A502" t="s">
        <v>69</v>
      </c>
      <c r="B502">
        <v>5.32728E-4</v>
      </c>
      <c r="C502" t="s">
        <v>1367</v>
      </c>
      <c r="D502" t="s">
        <v>51</v>
      </c>
      <c r="E502" t="s">
        <v>38</v>
      </c>
      <c r="G502" t="s">
        <v>26</v>
      </c>
      <c r="H502" t="s">
        <v>70</v>
      </c>
    </row>
    <row r="503" spans="1:9">
      <c r="A503" t="s">
        <v>1251</v>
      </c>
      <c r="B503">
        <v>3.6000000000000001E-5</v>
      </c>
      <c r="C503" t="s">
        <v>1367</v>
      </c>
      <c r="D503" t="s">
        <v>34</v>
      </c>
      <c r="E503" t="s">
        <v>38</v>
      </c>
      <c r="G503" t="s">
        <v>26</v>
      </c>
      <c r="H503" t="s">
        <v>1252</v>
      </c>
    </row>
    <row r="504" spans="1:9">
      <c r="A504" t="s">
        <v>1127</v>
      </c>
      <c r="B504">
        <v>3.6240000000000003E-4</v>
      </c>
      <c r="C504" t="s">
        <v>1367</v>
      </c>
      <c r="D504" t="s">
        <v>34</v>
      </c>
      <c r="E504" t="s">
        <v>38</v>
      </c>
      <c r="G504" t="s">
        <v>26</v>
      </c>
      <c r="H504" t="s">
        <v>1128</v>
      </c>
    </row>
    <row r="505" spans="1:9">
      <c r="A505" t="s">
        <v>1141</v>
      </c>
      <c r="B505">
        <v>1.92609E-4</v>
      </c>
      <c r="C505" t="s">
        <v>1367</v>
      </c>
      <c r="D505" t="s">
        <v>34</v>
      </c>
      <c r="E505" t="s">
        <v>38</v>
      </c>
      <c r="G505" t="s">
        <v>26</v>
      </c>
      <c r="H505" t="s">
        <v>1142</v>
      </c>
    </row>
    <row r="506" spans="1:9">
      <c r="A506" t="s">
        <v>1129</v>
      </c>
      <c r="B506" s="5">
        <v>2.54628E-9</v>
      </c>
      <c r="C506" t="s">
        <v>1367</v>
      </c>
      <c r="D506" t="s">
        <v>34</v>
      </c>
      <c r="E506" t="s">
        <v>7</v>
      </c>
      <c r="G506" t="s">
        <v>26</v>
      </c>
      <c r="H506" t="s">
        <v>1130</v>
      </c>
    </row>
    <row r="507" spans="1:9">
      <c r="A507" t="s">
        <v>1131</v>
      </c>
      <c r="B507">
        <v>2.796E-5</v>
      </c>
      <c r="C507" t="s">
        <v>1367</v>
      </c>
      <c r="D507" t="s">
        <v>34</v>
      </c>
      <c r="E507" t="s">
        <v>38</v>
      </c>
      <c r="G507" t="s">
        <v>26</v>
      </c>
      <c r="H507" t="s">
        <v>1132</v>
      </c>
    </row>
    <row r="508" spans="1:9">
      <c r="A508" t="s">
        <v>928</v>
      </c>
      <c r="B508">
        <v>1.668E-5</v>
      </c>
      <c r="C508" t="s">
        <v>1367</v>
      </c>
      <c r="D508" t="s">
        <v>34</v>
      </c>
      <c r="E508" t="s">
        <v>38</v>
      </c>
      <c r="G508" t="s">
        <v>26</v>
      </c>
      <c r="H508" t="s">
        <v>927</v>
      </c>
    </row>
    <row r="509" spans="1:9">
      <c r="A509" t="s">
        <v>465</v>
      </c>
      <c r="B509">
        <v>2.0291999999999999E-4</v>
      </c>
      <c r="C509" t="s">
        <v>1367</v>
      </c>
      <c r="D509" t="s">
        <v>34</v>
      </c>
      <c r="E509" t="s">
        <v>38</v>
      </c>
      <c r="G509" t="s">
        <v>26</v>
      </c>
      <c r="H509" t="s">
        <v>466</v>
      </c>
    </row>
    <row r="510" spans="1:9">
      <c r="A510" t="s">
        <v>1133</v>
      </c>
      <c r="B510">
        <v>3.1236000000000002E-4</v>
      </c>
      <c r="C510" t="s">
        <v>1367</v>
      </c>
      <c r="D510" t="s">
        <v>34</v>
      </c>
      <c r="E510" t="s">
        <v>38</v>
      </c>
      <c r="G510" t="s">
        <v>26</v>
      </c>
      <c r="H510" t="s">
        <v>1134</v>
      </c>
    </row>
    <row r="511" spans="1:9">
      <c r="A511" t="s">
        <v>1135</v>
      </c>
      <c r="B511">
        <v>4.8000000000000001E-5</v>
      </c>
      <c r="C511" t="s">
        <v>1367</v>
      </c>
      <c r="D511" t="s">
        <v>51</v>
      </c>
      <c r="E511" t="s">
        <v>38</v>
      </c>
      <c r="G511" t="s">
        <v>26</v>
      </c>
      <c r="H511" t="s">
        <v>1136</v>
      </c>
    </row>
    <row r="512" spans="1:9">
      <c r="A512" t="s">
        <v>121</v>
      </c>
      <c r="B512">
        <v>1.1592E-5</v>
      </c>
      <c r="C512" t="s">
        <v>1367</v>
      </c>
      <c r="D512" t="s">
        <v>34</v>
      </c>
      <c r="E512" t="s">
        <v>38</v>
      </c>
      <c r="G512" t="s">
        <v>26</v>
      </c>
      <c r="H512" t="s">
        <v>122</v>
      </c>
    </row>
    <row r="513" spans="1:14">
      <c r="A513" t="s">
        <v>173</v>
      </c>
      <c r="B513">
        <v>7.5375498600000004</v>
      </c>
      <c r="C513" t="s">
        <v>1367</v>
      </c>
      <c r="D513" t="s">
        <v>169</v>
      </c>
      <c r="E513" t="s">
        <v>38</v>
      </c>
      <c r="G513" t="s">
        <v>26</v>
      </c>
      <c r="H513" t="s">
        <v>174</v>
      </c>
    </row>
    <row r="514" spans="1:14">
      <c r="A514" t="s">
        <v>1028</v>
      </c>
      <c r="B514">
        <v>8.8290199999999997E-4</v>
      </c>
      <c r="C514" t="s">
        <v>1367</v>
      </c>
      <c r="D514" t="s">
        <v>34</v>
      </c>
      <c r="E514" t="s">
        <v>38</v>
      </c>
      <c r="G514" t="s">
        <v>26</v>
      </c>
      <c r="H514" t="s">
        <v>1029</v>
      </c>
    </row>
    <row r="515" spans="1:14">
      <c r="A515" t="s">
        <v>1137</v>
      </c>
      <c r="B515">
        <v>3.7139999999999997E-4</v>
      </c>
      <c r="C515" t="s">
        <v>1367</v>
      </c>
      <c r="D515" t="s">
        <v>34</v>
      </c>
      <c r="E515" t="s">
        <v>38</v>
      </c>
      <c r="G515" t="s">
        <v>26</v>
      </c>
      <c r="H515" t="s">
        <v>1138</v>
      </c>
    </row>
    <row r="516" spans="1:14">
      <c r="A516" t="s">
        <v>1217</v>
      </c>
      <c r="B516">
        <v>-0.19999800000000001</v>
      </c>
      <c r="C516" t="s">
        <v>1367</v>
      </c>
      <c r="D516" s="49" t="s">
        <v>194</v>
      </c>
      <c r="E516" t="s">
        <v>8</v>
      </c>
      <c r="G516" t="s">
        <v>26</v>
      </c>
      <c r="H516" t="s">
        <v>366</v>
      </c>
    </row>
    <row r="517" spans="1:14">
      <c r="A517" t="s">
        <v>1222</v>
      </c>
      <c r="B517">
        <v>3.8561569699999998</v>
      </c>
      <c r="C517" t="s">
        <v>1367</v>
      </c>
      <c r="D517" s="49" t="s">
        <v>155</v>
      </c>
      <c r="E517" t="s">
        <v>119</v>
      </c>
      <c r="G517" t="s">
        <v>26</v>
      </c>
      <c r="H517" t="s">
        <v>1226</v>
      </c>
      <c r="I517" t="s">
        <v>1223</v>
      </c>
    </row>
    <row r="518" spans="1:14">
      <c r="A518" t="s">
        <v>1153</v>
      </c>
      <c r="B518">
        <v>5.6649583229999996</v>
      </c>
      <c r="C518" t="s">
        <v>1413</v>
      </c>
      <c r="D518" t="s">
        <v>194</v>
      </c>
      <c r="E518" t="s">
        <v>38</v>
      </c>
      <c r="G518" t="s">
        <v>26</v>
      </c>
      <c r="H518" t="s">
        <v>1153</v>
      </c>
      <c r="I518" t="s">
        <v>1224</v>
      </c>
    </row>
    <row r="520" spans="1:14">
      <c r="A520" s="1" t="s">
        <v>0</v>
      </c>
      <c r="B520" s="1" t="s">
        <v>1143</v>
      </c>
    </row>
    <row r="521" spans="1:14">
      <c r="A521" t="s">
        <v>2</v>
      </c>
      <c r="B521">
        <v>1</v>
      </c>
    </row>
    <row r="522" spans="1:14">
      <c r="A522" t="s">
        <v>1</v>
      </c>
      <c r="B522" t="s">
        <v>194</v>
      </c>
      <c r="N522" t="s">
        <v>1221</v>
      </c>
    </row>
    <row r="523" spans="1:14">
      <c r="A523" t="s">
        <v>3</v>
      </c>
      <c r="B523" t="s">
        <v>1227</v>
      </c>
    </row>
    <row r="524" spans="1:14">
      <c r="A524" t="s">
        <v>7</v>
      </c>
      <c r="B524" t="s">
        <v>38</v>
      </c>
    </row>
    <row r="525" spans="1:14">
      <c r="A525" t="s">
        <v>11</v>
      </c>
      <c r="B525" t="s">
        <v>1405</v>
      </c>
    </row>
    <row r="526" spans="1:14">
      <c r="A526" t="s">
        <v>13</v>
      </c>
      <c r="B526" t="s">
        <v>1144</v>
      </c>
    </row>
    <row r="527" spans="1:14">
      <c r="A527" s="1" t="s">
        <v>14</v>
      </c>
      <c r="B527" s="1"/>
      <c r="C527" s="1"/>
      <c r="D527" s="1"/>
      <c r="E527" s="1"/>
      <c r="F527" s="1"/>
      <c r="G527" s="1"/>
      <c r="H527" s="1"/>
    </row>
    <row r="528" spans="1:14">
      <c r="A528" s="1" t="s">
        <v>15</v>
      </c>
      <c r="B528" s="1" t="s">
        <v>16</v>
      </c>
      <c r="C528" s="1" t="s">
        <v>17</v>
      </c>
      <c r="D528" s="1" t="s">
        <v>1</v>
      </c>
      <c r="E528" s="1" t="s">
        <v>7</v>
      </c>
      <c r="F528" s="1" t="s">
        <v>18</v>
      </c>
      <c r="G528" s="1" t="s">
        <v>5</v>
      </c>
      <c r="H528" s="1" t="s">
        <v>3</v>
      </c>
    </row>
    <row r="529" spans="1:9">
      <c r="A529" t="s">
        <v>1143</v>
      </c>
      <c r="B529">
        <v>1</v>
      </c>
      <c r="C529" t="s">
        <v>1413</v>
      </c>
      <c r="D529" t="s">
        <v>194</v>
      </c>
      <c r="E529" t="s">
        <v>38</v>
      </c>
      <c r="G529" t="s">
        <v>24</v>
      </c>
      <c r="H529" t="s">
        <v>1227</v>
      </c>
    </row>
    <row r="530" spans="1:9">
      <c r="A530" t="s">
        <v>1116</v>
      </c>
      <c r="B530">
        <v>21.196643300000002</v>
      </c>
      <c r="C530" t="s">
        <v>172</v>
      </c>
      <c r="E530" t="s">
        <v>38</v>
      </c>
      <c r="F530" t="s">
        <v>127</v>
      </c>
      <c r="G530" t="s">
        <v>126</v>
      </c>
    </row>
    <row r="531" spans="1:9">
      <c r="A531" t="s">
        <v>1129</v>
      </c>
      <c r="B531" s="5">
        <v>2.54628E-9</v>
      </c>
      <c r="C531" t="s">
        <v>1367</v>
      </c>
      <c r="D531" t="s">
        <v>34</v>
      </c>
      <c r="E531" t="s">
        <v>7</v>
      </c>
      <c r="G531" t="s">
        <v>26</v>
      </c>
      <c r="H531" t="s">
        <v>1130</v>
      </c>
    </row>
    <row r="532" spans="1:9">
      <c r="A532" t="s">
        <v>173</v>
      </c>
      <c r="B532">
        <v>15.9055184</v>
      </c>
      <c r="C532" t="s">
        <v>1367</v>
      </c>
      <c r="D532" t="s">
        <v>169</v>
      </c>
      <c r="E532" t="s">
        <v>38</v>
      </c>
      <c r="G532" t="s">
        <v>26</v>
      </c>
      <c r="H532" t="s">
        <v>174</v>
      </c>
      <c r="I532" t="s">
        <v>1145</v>
      </c>
    </row>
    <row r="533" spans="1:9">
      <c r="A533" t="s">
        <v>1146</v>
      </c>
      <c r="B533">
        <v>11.696596</v>
      </c>
      <c r="C533" t="s">
        <v>1367</v>
      </c>
      <c r="D533" t="s">
        <v>51</v>
      </c>
      <c r="E533" t="s">
        <v>38</v>
      </c>
      <c r="G533" t="s">
        <v>26</v>
      </c>
      <c r="H533" t="s">
        <v>1147</v>
      </c>
    </row>
    <row r="534" spans="1:9">
      <c r="A534" s="56" t="s">
        <v>1217</v>
      </c>
      <c r="B534">
        <v>1.368832045</v>
      </c>
      <c r="C534" t="s">
        <v>1367</v>
      </c>
      <c r="D534" s="49" t="s">
        <v>194</v>
      </c>
      <c r="E534" t="s">
        <v>8</v>
      </c>
      <c r="G534" t="s">
        <v>26</v>
      </c>
      <c r="H534" t="s">
        <v>366</v>
      </c>
    </row>
    <row r="535" spans="1:9">
      <c r="A535" t="s">
        <v>1148</v>
      </c>
      <c r="B535" s="5">
        <v>5.3483200000000002E-10</v>
      </c>
      <c r="C535" t="s">
        <v>1367</v>
      </c>
      <c r="D535" t="s">
        <v>51</v>
      </c>
      <c r="E535" t="s">
        <v>7</v>
      </c>
      <c r="G535" t="s">
        <v>26</v>
      </c>
      <c r="H535" t="s">
        <v>1149</v>
      </c>
    </row>
    <row r="536" spans="1:9">
      <c r="A536" t="s">
        <v>1150</v>
      </c>
      <c r="B536">
        <v>-1.2439311E-2</v>
      </c>
      <c r="C536" t="s">
        <v>1367</v>
      </c>
      <c r="D536" t="s">
        <v>51</v>
      </c>
      <c r="E536" t="s">
        <v>119</v>
      </c>
      <c r="G536" t="s">
        <v>26</v>
      </c>
      <c r="H536" t="s">
        <v>1151</v>
      </c>
    </row>
    <row r="538" spans="1:9">
      <c r="A538" s="1" t="s">
        <v>0</v>
      </c>
      <c r="B538" s="1" t="s">
        <v>1152</v>
      </c>
    </row>
    <row r="539" spans="1:9">
      <c r="A539" t="s">
        <v>2</v>
      </c>
      <c r="B539">
        <v>1</v>
      </c>
    </row>
    <row r="540" spans="1:9">
      <c r="A540" t="s">
        <v>1</v>
      </c>
      <c r="B540" t="s">
        <v>194</v>
      </c>
    </row>
    <row r="541" spans="1:9">
      <c r="A541" t="s">
        <v>3</v>
      </c>
      <c r="B541" t="s">
        <v>1227</v>
      </c>
    </row>
    <row r="542" spans="1:9">
      <c r="A542" t="s">
        <v>7</v>
      </c>
      <c r="B542" t="s">
        <v>38</v>
      </c>
    </row>
    <row r="543" spans="1:9">
      <c r="A543" t="s">
        <v>11</v>
      </c>
      <c r="B543" t="s">
        <v>1406</v>
      </c>
    </row>
    <row r="544" spans="1:9">
      <c r="A544" t="s">
        <v>13</v>
      </c>
      <c r="B544" t="s">
        <v>1144</v>
      </c>
    </row>
    <row r="545" spans="1:9">
      <c r="A545" s="1" t="s">
        <v>14</v>
      </c>
      <c r="B545" s="1"/>
      <c r="C545" s="1"/>
      <c r="D545" s="1"/>
      <c r="E545" s="1"/>
      <c r="F545" s="1"/>
      <c r="G545" s="1"/>
      <c r="H545" s="1"/>
      <c r="I545" s="1"/>
    </row>
    <row r="546" spans="1:9">
      <c r="A546" s="1" t="s">
        <v>15</v>
      </c>
      <c r="B546" s="1" t="s">
        <v>16</v>
      </c>
      <c r="C546" s="1" t="s">
        <v>17</v>
      </c>
      <c r="D546" s="1" t="s">
        <v>1</v>
      </c>
      <c r="E546" s="1" t="s">
        <v>7</v>
      </c>
      <c r="F546" s="1" t="s">
        <v>18</v>
      </c>
      <c r="G546" s="1" t="s">
        <v>5</v>
      </c>
      <c r="H546" s="1" t="s">
        <v>3</v>
      </c>
      <c r="I546" s="1" t="s">
        <v>13</v>
      </c>
    </row>
    <row r="547" spans="1:9">
      <c r="A547" t="s">
        <v>1152</v>
      </c>
      <c r="B547">
        <v>1</v>
      </c>
      <c r="C547" t="s">
        <v>1413</v>
      </c>
      <c r="D547" t="s">
        <v>194</v>
      </c>
      <c r="E547" t="s">
        <v>38</v>
      </c>
      <c r="G547" t="s">
        <v>24</v>
      </c>
      <c r="H547" t="s">
        <v>1227</v>
      </c>
    </row>
    <row r="548" spans="1:9">
      <c r="A548" t="s">
        <v>1116</v>
      </c>
      <c r="B548">
        <v>3.1688981730000001</v>
      </c>
      <c r="C548" t="s">
        <v>172</v>
      </c>
      <c r="E548" t="s">
        <v>38</v>
      </c>
      <c r="F548" t="s">
        <v>127</v>
      </c>
      <c r="G548" t="s">
        <v>126</v>
      </c>
    </row>
    <row r="549" spans="1:9">
      <c r="A549" t="s">
        <v>1153</v>
      </c>
      <c r="B549">
        <v>18.02774513</v>
      </c>
      <c r="C549" t="s">
        <v>1413</v>
      </c>
      <c r="D549" t="s">
        <v>194</v>
      </c>
      <c r="E549" t="s">
        <v>38</v>
      </c>
      <c r="G549" t="s">
        <v>26</v>
      </c>
      <c r="H549" t="s">
        <v>1153</v>
      </c>
    </row>
    <row r="550" spans="1:9">
      <c r="A550" t="s">
        <v>1140</v>
      </c>
      <c r="B550">
        <v>18.02774513</v>
      </c>
      <c r="C550" t="s">
        <v>1413</v>
      </c>
      <c r="D550" t="s">
        <v>194</v>
      </c>
      <c r="E550" t="s">
        <v>38</v>
      </c>
      <c r="G550" t="s">
        <v>26</v>
      </c>
      <c r="H550" t="s">
        <v>1140</v>
      </c>
    </row>
    <row r="551" spans="1:9">
      <c r="A551" t="s">
        <v>1129</v>
      </c>
      <c r="B551" s="5">
        <v>2.54628E-9</v>
      </c>
      <c r="C551" t="s">
        <v>1367</v>
      </c>
      <c r="D551" t="s">
        <v>34</v>
      </c>
      <c r="E551" t="s">
        <v>7</v>
      </c>
      <c r="G551" t="s">
        <v>26</v>
      </c>
      <c r="H551" t="s">
        <v>1130</v>
      </c>
    </row>
    <row r="552" spans="1:9">
      <c r="A552" t="s">
        <v>173</v>
      </c>
      <c r="B552">
        <v>15.926282110000001</v>
      </c>
      <c r="C552" t="s">
        <v>1367</v>
      </c>
      <c r="D552" t="s">
        <v>169</v>
      </c>
      <c r="E552" t="s">
        <v>38</v>
      </c>
      <c r="G552" t="s">
        <v>26</v>
      </c>
      <c r="H552" t="s">
        <v>174</v>
      </c>
      <c r="I552" t="s">
        <v>1145</v>
      </c>
    </row>
    <row r="553" spans="1:9">
      <c r="A553" t="s">
        <v>1146</v>
      </c>
      <c r="B553">
        <v>11.696596</v>
      </c>
      <c r="C553" t="s">
        <v>1367</v>
      </c>
      <c r="D553" t="s">
        <v>51</v>
      </c>
      <c r="E553" t="s">
        <v>38</v>
      </c>
      <c r="G553" t="s">
        <v>26</v>
      </c>
      <c r="H553" t="s">
        <v>1147</v>
      </c>
    </row>
    <row r="554" spans="1:9">
      <c r="A554" s="56" t="s">
        <v>1217</v>
      </c>
      <c r="B554">
        <v>1.2522470269999999</v>
      </c>
      <c r="C554" t="s">
        <v>1367</v>
      </c>
      <c r="D554" s="56" t="s">
        <v>194</v>
      </c>
      <c r="E554" t="s">
        <v>8</v>
      </c>
      <c r="G554" t="s">
        <v>26</v>
      </c>
      <c r="H554" t="s">
        <v>366</v>
      </c>
    </row>
    <row r="555" spans="1:9">
      <c r="A555" t="s">
        <v>1148</v>
      </c>
      <c r="B555" s="5">
        <v>5.3483200000000002E-10</v>
      </c>
      <c r="C555" t="s">
        <v>1367</v>
      </c>
      <c r="D555" t="s">
        <v>51</v>
      </c>
      <c r="E555" t="s">
        <v>7</v>
      </c>
      <c r="G555" t="s">
        <v>26</v>
      </c>
      <c r="H555" t="s">
        <v>1149</v>
      </c>
    </row>
    <row r="556" spans="1:9">
      <c r="A556" t="s">
        <v>1150</v>
      </c>
      <c r="B556">
        <v>-1.2439311E-2</v>
      </c>
      <c r="C556" t="s">
        <v>1367</v>
      </c>
      <c r="D556" t="s">
        <v>51</v>
      </c>
      <c r="E556" t="s">
        <v>119</v>
      </c>
      <c r="G556" t="s">
        <v>26</v>
      </c>
      <c r="H556" t="s">
        <v>1151</v>
      </c>
    </row>
    <row r="558" spans="1:9">
      <c r="A558" s="1" t="s">
        <v>0</v>
      </c>
      <c r="B558" s="1" t="s">
        <v>1153</v>
      </c>
    </row>
    <row r="559" spans="1:9">
      <c r="A559" t="s">
        <v>2</v>
      </c>
      <c r="B559">
        <v>1</v>
      </c>
    </row>
    <row r="560" spans="1:9">
      <c r="A560" t="s">
        <v>1</v>
      </c>
      <c r="B560" t="s">
        <v>194</v>
      </c>
    </row>
    <row r="561" spans="1:8">
      <c r="A561" t="s">
        <v>3</v>
      </c>
      <c r="B561" t="s">
        <v>1153</v>
      </c>
    </row>
    <row r="562" spans="1:8">
      <c r="A562" t="s">
        <v>7</v>
      </c>
      <c r="B562" t="s">
        <v>38</v>
      </c>
    </row>
    <row r="563" spans="1:8">
      <c r="A563" t="s">
        <v>11</v>
      </c>
      <c r="B563" t="s">
        <v>1406</v>
      </c>
    </row>
    <row r="564" spans="1:8">
      <c r="A564" t="s">
        <v>13</v>
      </c>
      <c r="B564" t="s">
        <v>1154</v>
      </c>
    </row>
    <row r="565" spans="1:8">
      <c r="A565" s="1" t="s">
        <v>14</v>
      </c>
      <c r="B565" s="1"/>
      <c r="C565" s="1"/>
      <c r="D565" s="1"/>
      <c r="E565" s="1"/>
      <c r="F565" s="1"/>
      <c r="G565" s="1"/>
      <c r="H565" s="1"/>
    </row>
    <row r="566" spans="1:8">
      <c r="A566" s="1" t="s">
        <v>15</v>
      </c>
      <c r="B566" s="1" t="s">
        <v>16</v>
      </c>
      <c r="C566" s="1" t="s">
        <v>17</v>
      </c>
      <c r="D566" s="1" t="s">
        <v>1</v>
      </c>
      <c r="E566" s="1" t="s">
        <v>7</v>
      </c>
      <c r="F566" s="1" t="s">
        <v>18</v>
      </c>
      <c r="G566" s="1" t="s">
        <v>5</v>
      </c>
      <c r="H566" s="1" t="s">
        <v>3</v>
      </c>
    </row>
    <row r="567" spans="1:8">
      <c r="A567" t="s">
        <v>1153</v>
      </c>
      <c r="B567">
        <v>1</v>
      </c>
      <c r="C567" t="s">
        <v>1413</v>
      </c>
      <c r="D567" t="s">
        <v>194</v>
      </c>
      <c r="E567" t="s">
        <v>38</v>
      </c>
      <c r="G567" t="s">
        <v>24</v>
      </c>
      <c r="H567" t="s">
        <v>1153</v>
      </c>
    </row>
    <row r="568" spans="1:8">
      <c r="A568" s="56" t="s">
        <v>1217</v>
      </c>
      <c r="B568">
        <v>0.19439999999999999</v>
      </c>
      <c r="C568" t="s">
        <v>1367</v>
      </c>
      <c r="D568" s="56" t="s">
        <v>194</v>
      </c>
      <c r="E568" t="s">
        <v>8</v>
      </c>
      <c r="G568" t="s">
        <v>26</v>
      </c>
      <c r="H568" t="s">
        <v>366</v>
      </c>
    </row>
    <row r="569" spans="1:8">
      <c r="A569" t="s">
        <v>1141</v>
      </c>
      <c r="B569" s="5">
        <v>9.7612400000000001E-6</v>
      </c>
      <c r="C569" t="s">
        <v>1367</v>
      </c>
      <c r="D569" t="s">
        <v>34</v>
      </c>
      <c r="E569" t="s">
        <v>38</v>
      </c>
      <c r="G569" t="s">
        <v>26</v>
      </c>
      <c r="H569" t="s">
        <v>1142</v>
      </c>
    </row>
    <row r="570" spans="1:8">
      <c r="A570" t="s">
        <v>173</v>
      </c>
      <c r="B570">
        <v>2.2898933999999999E-2</v>
      </c>
      <c r="C570" t="s">
        <v>1367</v>
      </c>
      <c r="D570" t="s">
        <v>169</v>
      </c>
      <c r="E570" t="s">
        <v>38</v>
      </c>
      <c r="G570" t="s">
        <v>26</v>
      </c>
      <c r="H570" t="s">
        <v>174</v>
      </c>
    </row>
    <row r="571" spans="1:8">
      <c r="A571" t="s">
        <v>1150</v>
      </c>
      <c r="B571" s="5">
        <v>-2.3593900000000001E-5</v>
      </c>
      <c r="C571" t="s">
        <v>1367</v>
      </c>
      <c r="D571" t="s">
        <v>51</v>
      </c>
      <c r="E571" t="s">
        <v>119</v>
      </c>
      <c r="G571" t="s">
        <v>26</v>
      </c>
      <c r="H571" t="s">
        <v>1151</v>
      </c>
    </row>
    <row r="572" spans="1:8">
      <c r="A572" t="s">
        <v>597</v>
      </c>
      <c r="B572">
        <v>8.3009621000000006E-2</v>
      </c>
      <c r="C572" t="s">
        <v>172</v>
      </c>
      <c r="E572" t="s">
        <v>119</v>
      </c>
      <c r="F572" t="s">
        <v>222</v>
      </c>
      <c r="G572" t="s">
        <v>126</v>
      </c>
    </row>
    <row r="574" spans="1:8">
      <c r="A574" s="1" t="s">
        <v>0</v>
      </c>
      <c r="B574" s="1" t="s">
        <v>1140</v>
      </c>
    </row>
    <row r="575" spans="1:8">
      <c r="A575" t="s">
        <v>1</v>
      </c>
      <c r="B575" t="s">
        <v>194</v>
      </c>
    </row>
    <row r="576" spans="1:8">
      <c r="A576" t="s">
        <v>2</v>
      </c>
      <c r="B576">
        <v>1</v>
      </c>
    </row>
    <row r="577" spans="1:9">
      <c r="A577" t="s">
        <v>3</v>
      </c>
      <c r="B577" t="s">
        <v>1140</v>
      </c>
    </row>
    <row r="578" spans="1:9">
      <c r="A578" t="s">
        <v>5</v>
      </c>
      <c r="B578" t="s">
        <v>6</v>
      </c>
    </row>
    <row r="579" spans="1:9">
      <c r="A579" t="s">
        <v>7</v>
      </c>
      <c r="B579" t="s">
        <v>38</v>
      </c>
    </row>
    <row r="580" spans="1:9">
      <c r="A580" t="s">
        <v>11</v>
      </c>
      <c r="B580" t="s">
        <v>1407</v>
      </c>
    </row>
    <row r="581" spans="1:9">
      <c r="A581" s="1" t="s">
        <v>14</v>
      </c>
      <c r="B581" s="1"/>
      <c r="C581" s="1"/>
      <c r="D581" s="1"/>
      <c r="E581" s="1"/>
      <c r="F581" s="1"/>
      <c r="G581" s="1"/>
      <c r="H581" s="1"/>
    </row>
    <row r="582" spans="1:9">
      <c r="A582" s="1" t="s">
        <v>15</v>
      </c>
      <c r="B582" s="1" t="s">
        <v>16</v>
      </c>
      <c r="C582" s="1" t="s">
        <v>17</v>
      </c>
      <c r="D582" s="1" t="s">
        <v>1</v>
      </c>
      <c r="E582" s="1" t="s">
        <v>7</v>
      </c>
      <c r="F582" s="1" t="s">
        <v>18</v>
      </c>
      <c r="G582" s="1" t="s">
        <v>5</v>
      </c>
      <c r="H582" s="1" t="s">
        <v>3</v>
      </c>
      <c r="I582" t="s">
        <v>13</v>
      </c>
    </row>
    <row r="583" spans="1:9">
      <c r="A583" t="s">
        <v>1140</v>
      </c>
      <c r="B583">
        <v>1</v>
      </c>
      <c r="C583" t="s">
        <v>1413</v>
      </c>
      <c r="D583" t="s">
        <v>194</v>
      </c>
      <c r="E583" t="s">
        <v>38</v>
      </c>
      <c r="G583" t="s">
        <v>24</v>
      </c>
      <c r="H583" t="s">
        <v>1140</v>
      </c>
    </row>
    <row r="584" spans="1:9">
      <c r="A584" t="s">
        <v>1155</v>
      </c>
      <c r="B584" s="5">
        <v>5.0699999999999997E-8</v>
      </c>
      <c r="C584" t="s">
        <v>1413</v>
      </c>
      <c r="D584" t="s">
        <v>34</v>
      </c>
      <c r="E584" t="s">
        <v>131</v>
      </c>
      <c r="G584" t="s">
        <v>26</v>
      </c>
      <c r="H584" t="s">
        <v>1155</v>
      </c>
      <c r="I584" t="s">
        <v>1156</v>
      </c>
    </row>
    <row r="585" spans="1:9">
      <c r="A585" t="s">
        <v>1157</v>
      </c>
      <c r="B585" s="5">
        <v>2.5400000000000001E-11</v>
      </c>
      <c r="C585" t="s">
        <v>1367</v>
      </c>
      <c r="D585" t="s">
        <v>34</v>
      </c>
      <c r="E585" t="s">
        <v>7</v>
      </c>
      <c r="G585" t="s">
        <v>26</v>
      </c>
      <c r="H585" t="s">
        <v>1158</v>
      </c>
      <c r="I585" t="s">
        <v>1159</v>
      </c>
    </row>
    <row r="586" spans="1:9">
      <c r="A586" s="56" t="s">
        <v>1217</v>
      </c>
      <c r="B586">
        <v>3.3399999999999999E-2</v>
      </c>
      <c r="C586" t="s">
        <v>1367</v>
      </c>
      <c r="D586" s="56" t="s">
        <v>194</v>
      </c>
      <c r="E586" t="s">
        <v>8</v>
      </c>
      <c r="G586" t="s">
        <v>26</v>
      </c>
      <c r="H586" t="s">
        <v>366</v>
      </c>
      <c r="I586" t="s">
        <v>1160</v>
      </c>
    </row>
    <row r="587" spans="1:9">
      <c r="A587" t="s">
        <v>1161</v>
      </c>
      <c r="B587">
        <v>1.5200000000000001E-3</v>
      </c>
      <c r="C587" t="s">
        <v>1413</v>
      </c>
      <c r="D587" t="s">
        <v>194</v>
      </c>
      <c r="E587" t="s">
        <v>35</v>
      </c>
      <c r="G587" t="s">
        <v>26</v>
      </c>
      <c r="H587" t="s">
        <v>1161</v>
      </c>
    </row>
    <row r="588" spans="1:9">
      <c r="A588" t="s">
        <v>1162</v>
      </c>
      <c r="B588">
        <v>1.5200000000000001E-3</v>
      </c>
      <c r="C588" t="s">
        <v>1413</v>
      </c>
      <c r="D588" t="s">
        <v>34</v>
      </c>
      <c r="E588" t="s">
        <v>35</v>
      </c>
      <c r="G588" t="s">
        <v>26</v>
      </c>
      <c r="H588" t="s">
        <v>1162</v>
      </c>
      <c r="I588" t="s">
        <v>1163</v>
      </c>
    </row>
    <row r="590" spans="1:9">
      <c r="A590" s="1" t="s">
        <v>0</v>
      </c>
      <c r="B590" s="1" t="s">
        <v>1161</v>
      </c>
    </row>
    <row r="591" spans="1:9">
      <c r="A591" t="s">
        <v>1</v>
      </c>
      <c r="B591" t="s">
        <v>194</v>
      </c>
    </row>
    <row r="592" spans="1:9">
      <c r="A592" t="s">
        <v>2</v>
      </c>
      <c r="B592">
        <v>1</v>
      </c>
    </row>
    <row r="593" spans="1:9">
      <c r="A593" t="s">
        <v>3</v>
      </c>
      <c r="B593" t="s">
        <v>1161</v>
      </c>
    </row>
    <row r="594" spans="1:9">
      <c r="A594" t="s">
        <v>5</v>
      </c>
      <c r="B594" t="s">
        <v>6</v>
      </c>
    </row>
    <row r="595" spans="1:9">
      <c r="A595" t="s">
        <v>7</v>
      </c>
      <c r="B595" t="s">
        <v>35</v>
      </c>
    </row>
    <row r="596" spans="1:9">
      <c r="A596" s="1" t="s">
        <v>14</v>
      </c>
      <c r="B596" s="1"/>
      <c r="C596" s="1"/>
      <c r="D596" s="1"/>
      <c r="E596" s="1"/>
      <c r="F596" s="1"/>
      <c r="G596" s="1"/>
      <c r="H596" s="1"/>
      <c r="I596" s="1"/>
    </row>
    <row r="597" spans="1:9">
      <c r="A597" s="1" t="s">
        <v>15</v>
      </c>
      <c r="B597" s="1" t="s">
        <v>16</v>
      </c>
      <c r="C597" s="1" t="s">
        <v>17</v>
      </c>
      <c r="D597" s="1" t="s">
        <v>1</v>
      </c>
      <c r="E597" s="1" t="s">
        <v>7</v>
      </c>
      <c r="F597" s="1" t="s">
        <v>18</v>
      </c>
      <c r="G597" s="1" t="s">
        <v>5</v>
      </c>
      <c r="H597" s="1" t="s">
        <v>3</v>
      </c>
      <c r="I597" s="1" t="s">
        <v>13</v>
      </c>
    </row>
    <row r="598" spans="1:9">
      <c r="A598" t="s">
        <v>621</v>
      </c>
      <c r="B598">
        <v>2.5999999999999998E-4</v>
      </c>
      <c r="C598" t="s">
        <v>172</v>
      </c>
      <c r="E598" t="s">
        <v>38</v>
      </c>
      <c r="F598" t="s">
        <v>901</v>
      </c>
      <c r="G598" t="s">
        <v>126</v>
      </c>
    </row>
    <row r="599" spans="1:9">
      <c r="A599" t="s">
        <v>1161</v>
      </c>
      <c r="B599">
        <v>1</v>
      </c>
      <c r="C599" t="s">
        <v>1413</v>
      </c>
      <c r="D599" t="s">
        <v>194</v>
      </c>
      <c r="E599" t="s">
        <v>35</v>
      </c>
      <c r="G599" t="s">
        <v>24</v>
      </c>
      <c r="H599" t="s">
        <v>1161</v>
      </c>
    </row>
    <row r="600" spans="1:9">
      <c r="A600" t="s">
        <v>1157</v>
      </c>
      <c r="B600" s="5">
        <v>4.22E-11</v>
      </c>
      <c r="C600" t="s">
        <v>1367</v>
      </c>
      <c r="D600" t="s">
        <v>34</v>
      </c>
      <c r="E600" t="s">
        <v>7</v>
      </c>
      <c r="G600" t="s">
        <v>26</v>
      </c>
      <c r="H600" t="s">
        <v>1158</v>
      </c>
    </row>
    <row r="601" spans="1:9">
      <c r="A601" s="56" t="s">
        <v>1217</v>
      </c>
      <c r="B601">
        <v>3.8899999999999997E-2</v>
      </c>
      <c r="C601" t="s">
        <v>1367</v>
      </c>
      <c r="D601" s="56" t="s">
        <v>194</v>
      </c>
      <c r="E601" t="s">
        <v>8</v>
      </c>
      <c r="G601" t="s">
        <v>26</v>
      </c>
      <c r="H601" t="s">
        <v>366</v>
      </c>
    </row>
    <row r="602" spans="1:9">
      <c r="A602" t="s">
        <v>1164</v>
      </c>
      <c r="B602" s="5">
        <v>4.2199999999999999E-9</v>
      </c>
      <c r="C602" t="s">
        <v>1413</v>
      </c>
      <c r="D602" t="s">
        <v>34</v>
      </c>
      <c r="E602" t="s">
        <v>1165</v>
      </c>
      <c r="G602" t="s">
        <v>26</v>
      </c>
      <c r="H602" t="s">
        <v>1164</v>
      </c>
    </row>
    <row r="603" spans="1:9">
      <c r="B603" s="5"/>
    </row>
    <row r="604" spans="1:9">
      <c r="A604" s="1" t="s">
        <v>0</v>
      </c>
      <c r="B604" s="1" t="s">
        <v>1162</v>
      </c>
    </row>
    <row r="605" spans="1:9">
      <c r="A605" t="s">
        <v>1</v>
      </c>
      <c r="B605" t="s">
        <v>34</v>
      </c>
    </row>
    <row r="606" spans="1:9">
      <c r="A606" t="s">
        <v>2</v>
      </c>
      <c r="B606">
        <v>1</v>
      </c>
    </row>
    <row r="607" spans="1:9">
      <c r="A607" t="s">
        <v>3</v>
      </c>
      <c r="B607" t="s">
        <v>1162</v>
      </c>
    </row>
    <row r="608" spans="1:9">
      <c r="A608" t="s">
        <v>5</v>
      </c>
      <c r="B608" t="s">
        <v>6</v>
      </c>
    </row>
    <row r="609" spans="1:9">
      <c r="A609" t="s">
        <v>7</v>
      </c>
      <c r="B609" t="s">
        <v>35</v>
      </c>
    </row>
    <row r="610" spans="1:9">
      <c r="A610" s="1" t="s">
        <v>14</v>
      </c>
      <c r="B610" s="1"/>
      <c r="C610" s="1"/>
      <c r="D610" s="1"/>
      <c r="E610" s="1"/>
      <c r="F610" s="1"/>
      <c r="G610" s="1"/>
      <c r="H610" s="1"/>
      <c r="I610" s="1"/>
    </row>
    <row r="611" spans="1:9">
      <c r="A611" s="1" t="s">
        <v>15</v>
      </c>
      <c r="B611" s="1" t="s">
        <v>16</v>
      </c>
      <c r="C611" s="1" t="s">
        <v>17</v>
      </c>
      <c r="D611" s="1" t="s">
        <v>1</v>
      </c>
      <c r="E611" s="1" t="s">
        <v>7</v>
      </c>
      <c r="F611" s="1" t="s">
        <v>18</v>
      </c>
      <c r="G611" s="1" t="s">
        <v>5</v>
      </c>
      <c r="H611" s="1" t="s">
        <v>3</v>
      </c>
      <c r="I611" s="1" t="s">
        <v>13</v>
      </c>
    </row>
    <row r="612" spans="1:9">
      <c r="A612" t="s">
        <v>621</v>
      </c>
      <c r="B612">
        <v>2.5999999999999998E-4</v>
      </c>
      <c r="C612" t="s">
        <v>172</v>
      </c>
      <c r="E612" t="s">
        <v>38</v>
      </c>
      <c r="F612" t="s">
        <v>901</v>
      </c>
      <c r="G612" t="s">
        <v>126</v>
      </c>
    </row>
    <row r="613" spans="1:9">
      <c r="A613" t="s">
        <v>1162</v>
      </c>
      <c r="B613">
        <v>1</v>
      </c>
      <c r="C613" t="s">
        <v>1413</v>
      </c>
      <c r="D613" t="s">
        <v>34</v>
      </c>
      <c r="E613" t="s">
        <v>35</v>
      </c>
      <c r="G613" t="s">
        <v>24</v>
      </c>
      <c r="H613" t="s">
        <v>1162</v>
      </c>
    </row>
    <row r="614" spans="1:9">
      <c r="A614" t="s">
        <v>1164</v>
      </c>
      <c r="B614" s="5">
        <v>4.2199999999999999E-9</v>
      </c>
      <c r="C614" t="s">
        <v>1413</v>
      </c>
      <c r="D614" t="s">
        <v>34</v>
      </c>
      <c r="E614" t="s">
        <v>1165</v>
      </c>
      <c r="G614" t="s">
        <v>26</v>
      </c>
      <c r="H614" t="s">
        <v>1164</v>
      </c>
    </row>
    <row r="616" spans="1:9">
      <c r="A616" s="1" t="s">
        <v>0</v>
      </c>
      <c r="B616" s="1" t="s">
        <v>1164</v>
      </c>
    </row>
    <row r="617" spans="1:9">
      <c r="A617" t="s">
        <v>1</v>
      </c>
      <c r="B617" t="s">
        <v>34</v>
      </c>
    </row>
    <row r="618" spans="1:9">
      <c r="A618" t="s">
        <v>2</v>
      </c>
      <c r="B618">
        <v>1</v>
      </c>
    </row>
    <row r="619" spans="1:9">
      <c r="A619" t="s">
        <v>3</v>
      </c>
      <c r="B619" t="s">
        <v>1164</v>
      </c>
    </row>
    <row r="620" spans="1:9">
      <c r="A620" t="s">
        <v>5</v>
      </c>
      <c r="B620" t="s">
        <v>6</v>
      </c>
    </row>
    <row r="621" spans="1:9">
      <c r="A621" t="s">
        <v>7</v>
      </c>
      <c r="B621" t="s">
        <v>1165</v>
      </c>
    </row>
    <row r="622" spans="1:9">
      <c r="A622" s="1" t="s">
        <v>14</v>
      </c>
      <c r="B622" s="1"/>
      <c r="C622" s="1"/>
      <c r="D622" s="1"/>
      <c r="E622" s="1"/>
      <c r="F622" s="1"/>
      <c r="G622" s="1"/>
      <c r="H622" s="1"/>
      <c r="I622" s="1"/>
    </row>
    <row r="623" spans="1:9">
      <c r="A623" s="1" t="s">
        <v>15</v>
      </c>
      <c r="B623" s="1" t="s">
        <v>16</v>
      </c>
      <c r="C623" s="1" t="s">
        <v>17</v>
      </c>
      <c r="D623" s="1" t="s">
        <v>1</v>
      </c>
      <c r="E623" s="1" t="s">
        <v>7</v>
      </c>
      <c r="F623" s="1" t="s">
        <v>18</v>
      </c>
      <c r="G623" s="1" t="s">
        <v>5</v>
      </c>
      <c r="H623" s="1" t="s">
        <v>3</v>
      </c>
      <c r="I623" s="1" t="s">
        <v>13</v>
      </c>
    </row>
    <row r="624" spans="1:9">
      <c r="A624" t="s">
        <v>354</v>
      </c>
      <c r="B624">
        <v>3330</v>
      </c>
      <c r="C624" t="s">
        <v>172</v>
      </c>
      <c r="E624" t="s">
        <v>188</v>
      </c>
      <c r="F624" t="s">
        <v>185</v>
      </c>
      <c r="G624" t="s">
        <v>126</v>
      </c>
    </row>
    <row r="625" spans="1:8">
      <c r="A625" t="s">
        <v>974</v>
      </c>
      <c r="B625">
        <v>2000</v>
      </c>
      <c r="C625" t="s">
        <v>172</v>
      </c>
      <c r="E625" t="s">
        <v>114</v>
      </c>
      <c r="F625" t="s">
        <v>185</v>
      </c>
      <c r="G625" t="s">
        <v>126</v>
      </c>
    </row>
    <row r="626" spans="1:8">
      <c r="A626" t="s">
        <v>1166</v>
      </c>
      <c r="B626">
        <v>2000</v>
      </c>
      <c r="C626" t="s">
        <v>172</v>
      </c>
      <c r="E626" t="s">
        <v>114</v>
      </c>
      <c r="F626" t="s">
        <v>185</v>
      </c>
      <c r="G626" t="s">
        <v>126</v>
      </c>
    </row>
    <row r="627" spans="1:8">
      <c r="A627" t="s">
        <v>902</v>
      </c>
      <c r="B627">
        <v>187</v>
      </c>
      <c r="C627" t="s">
        <v>172</v>
      </c>
      <c r="E627" t="s">
        <v>119</v>
      </c>
      <c r="F627" t="s">
        <v>222</v>
      </c>
      <c r="G627" t="s">
        <v>126</v>
      </c>
    </row>
    <row r="628" spans="1:8">
      <c r="A628" t="s">
        <v>1164</v>
      </c>
      <c r="B628">
        <v>1</v>
      </c>
      <c r="C628" t="s">
        <v>1413</v>
      </c>
      <c r="D628" t="s">
        <v>34</v>
      </c>
      <c r="E628" t="s">
        <v>1165</v>
      </c>
      <c r="G628" t="s">
        <v>24</v>
      </c>
      <c r="H628" t="s">
        <v>1164</v>
      </c>
    </row>
    <row r="629" spans="1:8">
      <c r="A629" t="s">
        <v>145</v>
      </c>
      <c r="B629">
        <v>270000</v>
      </c>
      <c r="C629" t="s">
        <v>1367</v>
      </c>
      <c r="D629" t="s">
        <v>34</v>
      </c>
      <c r="E629" t="s">
        <v>38</v>
      </c>
      <c r="G629" t="s">
        <v>26</v>
      </c>
      <c r="H629" t="s">
        <v>146</v>
      </c>
    </row>
    <row r="630" spans="1:8">
      <c r="A630" t="s">
        <v>1167</v>
      </c>
      <c r="B630">
        <v>4400000</v>
      </c>
      <c r="C630" t="s">
        <v>1367</v>
      </c>
      <c r="D630" t="s">
        <v>51</v>
      </c>
      <c r="E630" t="s">
        <v>38</v>
      </c>
      <c r="G630" t="s">
        <v>26</v>
      </c>
      <c r="H630" t="s">
        <v>1168</v>
      </c>
    </row>
    <row r="631" spans="1:8">
      <c r="A631" t="s">
        <v>31</v>
      </c>
      <c r="B631">
        <v>3310000</v>
      </c>
      <c r="C631" t="s">
        <v>1367</v>
      </c>
      <c r="D631" t="s">
        <v>34</v>
      </c>
      <c r="E631" t="s">
        <v>33</v>
      </c>
      <c r="G631" t="s">
        <v>26</v>
      </c>
      <c r="H631" t="s">
        <v>32</v>
      </c>
    </row>
    <row r="632" spans="1:8">
      <c r="A632" t="s">
        <v>39</v>
      </c>
      <c r="B632">
        <v>270000</v>
      </c>
      <c r="C632" t="s">
        <v>1367</v>
      </c>
      <c r="D632" t="s">
        <v>34</v>
      </c>
      <c r="E632" t="s">
        <v>38</v>
      </c>
      <c r="G632" t="s">
        <v>26</v>
      </c>
      <c r="H632" t="s">
        <v>40</v>
      </c>
    </row>
    <row r="633" spans="1:8">
      <c r="A633" t="s">
        <v>1169</v>
      </c>
      <c r="B633">
        <v>5120</v>
      </c>
      <c r="C633" t="s">
        <v>1367</v>
      </c>
      <c r="D633" t="s">
        <v>34</v>
      </c>
      <c r="E633" t="s">
        <v>38</v>
      </c>
      <c r="G633" t="s">
        <v>26</v>
      </c>
      <c r="H633" t="s">
        <v>1170</v>
      </c>
    </row>
    <row r="634" spans="1:8">
      <c r="A634" t="s">
        <v>1262</v>
      </c>
      <c r="B634">
        <v>55100</v>
      </c>
      <c r="C634" t="s">
        <v>1367</v>
      </c>
      <c r="D634" t="s">
        <v>34</v>
      </c>
      <c r="E634" t="s">
        <v>35</v>
      </c>
      <c r="G634" t="s">
        <v>26</v>
      </c>
      <c r="H634" t="s">
        <v>1254</v>
      </c>
    </row>
    <row r="635" spans="1:8">
      <c r="A635" t="s">
        <v>1261</v>
      </c>
      <c r="B635">
        <v>315000</v>
      </c>
      <c r="C635" t="s">
        <v>1367</v>
      </c>
      <c r="D635" t="s">
        <v>34</v>
      </c>
      <c r="E635" t="s">
        <v>35</v>
      </c>
      <c r="G635" t="s">
        <v>26</v>
      </c>
      <c r="H635" t="s">
        <v>1260</v>
      </c>
    </row>
    <row r="636" spans="1:8">
      <c r="A636" t="s">
        <v>1264</v>
      </c>
      <c r="B636">
        <v>26</v>
      </c>
      <c r="C636" t="s">
        <v>1367</v>
      </c>
      <c r="D636" t="s">
        <v>34</v>
      </c>
      <c r="E636" t="s">
        <v>21</v>
      </c>
      <c r="G636" t="s">
        <v>26</v>
      </c>
      <c r="H636" t="s">
        <v>1264</v>
      </c>
    </row>
    <row r="637" spans="1:8">
      <c r="A637" t="s">
        <v>1263</v>
      </c>
      <c r="B637">
        <v>10.4</v>
      </c>
      <c r="C637" t="s">
        <v>1367</v>
      </c>
      <c r="D637" t="s">
        <v>34</v>
      </c>
      <c r="E637" t="s">
        <v>7</v>
      </c>
      <c r="G637" t="s">
        <v>26</v>
      </c>
      <c r="H637" t="s">
        <v>1263</v>
      </c>
    </row>
    <row r="638" spans="1:8">
      <c r="A638" t="s">
        <v>1171</v>
      </c>
      <c r="B638">
        <v>-4400000</v>
      </c>
      <c r="C638" t="s">
        <v>1367</v>
      </c>
      <c r="D638" t="s">
        <v>51</v>
      </c>
      <c r="E638" t="s">
        <v>38</v>
      </c>
      <c r="G638" t="s">
        <v>26</v>
      </c>
      <c r="H638" t="s">
        <v>929</v>
      </c>
    </row>
    <row r="639" spans="1:8">
      <c r="A639" t="s">
        <v>1271</v>
      </c>
      <c r="B639">
        <v>-135000</v>
      </c>
      <c r="C639" t="s">
        <v>1367</v>
      </c>
      <c r="D639" t="s">
        <v>51</v>
      </c>
      <c r="E639" t="s">
        <v>38</v>
      </c>
      <c r="G639" t="s">
        <v>26</v>
      </c>
      <c r="H639" t="s">
        <v>1272</v>
      </c>
    </row>
    <row r="640" spans="1:8">
      <c r="A640" t="s">
        <v>1172</v>
      </c>
      <c r="B640">
        <v>-5120</v>
      </c>
      <c r="C640" t="s">
        <v>1367</v>
      </c>
      <c r="D640" t="s">
        <v>51</v>
      </c>
      <c r="E640" t="s">
        <v>38</v>
      </c>
      <c r="G640" t="s">
        <v>26</v>
      </c>
      <c r="H640" t="s">
        <v>1173</v>
      </c>
    </row>
    <row r="642" spans="1:9">
      <c r="A642" s="1" t="s">
        <v>0</v>
      </c>
      <c r="B642" s="1" t="s">
        <v>1155</v>
      </c>
    </row>
    <row r="643" spans="1:9">
      <c r="A643" t="s">
        <v>1</v>
      </c>
      <c r="B643" t="s">
        <v>34</v>
      </c>
    </row>
    <row r="644" spans="1:9">
      <c r="A644" t="s">
        <v>2</v>
      </c>
      <c r="B644">
        <v>1</v>
      </c>
    </row>
    <row r="645" spans="1:9">
      <c r="A645" t="s">
        <v>3</v>
      </c>
      <c r="B645" t="s">
        <v>1155</v>
      </c>
    </row>
    <row r="646" spans="1:9">
      <c r="A646" t="s">
        <v>5</v>
      </c>
      <c r="B646" t="s">
        <v>6</v>
      </c>
    </row>
    <row r="647" spans="1:9">
      <c r="A647" t="s">
        <v>7</v>
      </c>
      <c r="B647" t="s">
        <v>131</v>
      </c>
    </row>
    <row r="648" spans="1:9">
      <c r="A648" s="1" t="s">
        <v>14</v>
      </c>
      <c r="B648" s="1"/>
      <c r="C648" s="1"/>
      <c r="D648" s="1"/>
      <c r="E648" s="1"/>
      <c r="F648" s="1"/>
      <c r="G648" s="1"/>
      <c r="H648" s="1"/>
      <c r="I648" s="1"/>
    </row>
    <row r="649" spans="1:9">
      <c r="A649" s="1" t="s">
        <v>15</v>
      </c>
      <c r="B649" s="1" t="s">
        <v>16</v>
      </c>
      <c r="C649" s="1" t="s">
        <v>17</v>
      </c>
      <c r="D649" s="1" t="s">
        <v>1</v>
      </c>
      <c r="E649" s="1" t="s">
        <v>7</v>
      </c>
      <c r="F649" s="1" t="s">
        <v>18</v>
      </c>
      <c r="G649" s="1" t="s">
        <v>5</v>
      </c>
      <c r="H649" s="1" t="s">
        <v>3</v>
      </c>
      <c r="I649" s="1" t="s">
        <v>13</v>
      </c>
    </row>
    <row r="650" spans="1:9">
      <c r="A650" t="s">
        <v>1118</v>
      </c>
      <c r="B650">
        <v>4.7800000000000002E-7</v>
      </c>
      <c r="C650" t="s">
        <v>172</v>
      </c>
      <c r="E650" t="s">
        <v>38</v>
      </c>
      <c r="F650" t="s">
        <v>217</v>
      </c>
      <c r="G650" t="s">
        <v>126</v>
      </c>
    </row>
    <row r="651" spans="1:9">
      <c r="A651" t="s">
        <v>504</v>
      </c>
      <c r="B651">
        <v>0.06</v>
      </c>
      <c r="C651" t="s">
        <v>172</v>
      </c>
      <c r="E651" t="s">
        <v>38</v>
      </c>
      <c r="F651" t="s">
        <v>217</v>
      </c>
      <c r="G651" t="s">
        <v>126</v>
      </c>
    </row>
    <row r="652" spans="1:9">
      <c r="A652" t="s">
        <v>958</v>
      </c>
      <c r="B652">
        <v>4.2000000000000002E-4</v>
      </c>
      <c r="C652" t="s">
        <v>172</v>
      </c>
      <c r="E652" t="s">
        <v>38</v>
      </c>
      <c r="F652" t="s">
        <v>217</v>
      </c>
      <c r="G652" t="s">
        <v>126</v>
      </c>
    </row>
    <row r="653" spans="1:9">
      <c r="A653" t="s">
        <v>410</v>
      </c>
      <c r="B653">
        <v>0.3</v>
      </c>
      <c r="C653" t="s">
        <v>172</v>
      </c>
      <c r="E653" t="s">
        <v>38</v>
      </c>
      <c r="F653" t="s">
        <v>217</v>
      </c>
      <c r="G653" t="s">
        <v>126</v>
      </c>
    </row>
    <row r="654" spans="1:9">
      <c r="A654" t="s">
        <v>1174</v>
      </c>
      <c r="B654">
        <v>6.0000000000000001E-3</v>
      </c>
      <c r="C654" t="s">
        <v>172</v>
      </c>
      <c r="E654" t="s">
        <v>38</v>
      </c>
      <c r="F654" t="s">
        <v>217</v>
      </c>
      <c r="G654" t="s">
        <v>126</v>
      </c>
    </row>
    <row r="655" spans="1:9">
      <c r="A655" t="s">
        <v>411</v>
      </c>
      <c r="B655">
        <v>8.9999999999999993E-3</v>
      </c>
      <c r="C655" t="s">
        <v>172</v>
      </c>
      <c r="E655" t="s">
        <v>38</v>
      </c>
      <c r="F655" t="s">
        <v>217</v>
      </c>
      <c r="G655" t="s">
        <v>126</v>
      </c>
    </row>
    <row r="656" spans="1:9">
      <c r="A656" t="s">
        <v>412</v>
      </c>
      <c r="B656">
        <v>3</v>
      </c>
      <c r="C656" t="s">
        <v>172</v>
      </c>
      <c r="E656" t="s">
        <v>38</v>
      </c>
      <c r="F656" t="s">
        <v>217</v>
      </c>
      <c r="G656" t="s">
        <v>126</v>
      </c>
    </row>
    <row r="657" spans="1:7">
      <c r="A657" t="s">
        <v>413</v>
      </c>
      <c r="B657">
        <v>0.6</v>
      </c>
      <c r="C657" t="s">
        <v>172</v>
      </c>
      <c r="E657" t="s">
        <v>38</v>
      </c>
      <c r="F657" t="s">
        <v>217</v>
      </c>
      <c r="G657" t="s">
        <v>126</v>
      </c>
    </row>
    <row r="658" spans="1:7">
      <c r="A658" t="s">
        <v>414</v>
      </c>
      <c r="B658">
        <v>6</v>
      </c>
      <c r="C658" t="s">
        <v>172</v>
      </c>
      <c r="E658" t="s">
        <v>38</v>
      </c>
      <c r="F658" t="s">
        <v>217</v>
      </c>
      <c r="G658" t="s">
        <v>126</v>
      </c>
    </row>
    <row r="659" spans="1:7">
      <c r="A659" t="s">
        <v>506</v>
      </c>
      <c r="B659">
        <v>5.9999999999999995E-4</v>
      </c>
      <c r="C659" t="s">
        <v>172</v>
      </c>
      <c r="E659" t="s">
        <v>38</v>
      </c>
      <c r="F659" t="s">
        <v>217</v>
      </c>
      <c r="G659" t="s">
        <v>126</v>
      </c>
    </row>
    <row r="660" spans="1:7">
      <c r="A660" t="s">
        <v>1043</v>
      </c>
      <c r="B660">
        <v>0.3</v>
      </c>
      <c r="C660" t="s">
        <v>172</v>
      </c>
      <c r="E660" t="s">
        <v>38</v>
      </c>
      <c r="F660" t="s">
        <v>217</v>
      </c>
      <c r="G660" t="s">
        <v>126</v>
      </c>
    </row>
    <row r="661" spans="1:7">
      <c r="A661" t="s">
        <v>415</v>
      </c>
      <c r="B661">
        <v>3.0000000000000001E-3</v>
      </c>
      <c r="C661" t="s">
        <v>172</v>
      </c>
      <c r="E661" t="s">
        <v>38</v>
      </c>
      <c r="F661" t="s">
        <v>217</v>
      </c>
      <c r="G661" t="s">
        <v>126</v>
      </c>
    </row>
    <row r="662" spans="1:7">
      <c r="A662" t="s">
        <v>736</v>
      </c>
      <c r="B662">
        <v>3.0000000000000001E-3</v>
      </c>
      <c r="C662" t="s">
        <v>172</v>
      </c>
      <c r="E662" t="s">
        <v>38</v>
      </c>
      <c r="F662" t="s">
        <v>217</v>
      </c>
      <c r="G662" t="s">
        <v>126</v>
      </c>
    </row>
    <row r="663" spans="1:7">
      <c r="A663" t="s">
        <v>417</v>
      </c>
      <c r="B663">
        <v>0.18</v>
      </c>
      <c r="C663" t="s">
        <v>172</v>
      </c>
      <c r="E663" t="s">
        <v>38</v>
      </c>
      <c r="F663" t="s">
        <v>217</v>
      </c>
      <c r="G663" t="s">
        <v>126</v>
      </c>
    </row>
    <row r="664" spans="1:7">
      <c r="A664" t="s">
        <v>418</v>
      </c>
      <c r="B664">
        <v>0.12</v>
      </c>
      <c r="C664" t="s">
        <v>172</v>
      </c>
      <c r="E664" t="s">
        <v>38</v>
      </c>
      <c r="F664" t="s">
        <v>217</v>
      </c>
      <c r="G664" t="s">
        <v>126</v>
      </c>
    </row>
    <row r="665" spans="1:7">
      <c r="A665" t="s">
        <v>419</v>
      </c>
      <c r="B665">
        <v>3.0000000000000001E-3</v>
      </c>
      <c r="C665" t="s">
        <v>172</v>
      </c>
      <c r="E665" t="s">
        <v>38</v>
      </c>
      <c r="F665" t="s">
        <v>217</v>
      </c>
      <c r="G665" t="s">
        <v>126</v>
      </c>
    </row>
    <row r="666" spans="1:7">
      <c r="A666" t="s">
        <v>1089</v>
      </c>
      <c r="B666">
        <v>0.06</v>
      </c>
      <c r="C666" t="s">
        <v>172</v>
      </c>
      <c r="E666" t="s">
        <v>38</v>
      </c>
      <c r="F666" t="s">
        <v>217</v>
      </c>
      <c r="G666" t="s">
        <v>126</v>
      </c>
    </row>
    <row r="667" spans="1:7">
      <c r="A667" t="s">
        <v>904</v>
      </c>
      <c r="B667">
        <v>1.4800000000000001E-2</v>
      </c>
      <c r="C667" t="s">
        <v>172</v>
      </c>
      <c r="E667" t="s">
        <v>38</v>
      </c>
      <c r="F667" t="s">
        <v>212</v>
      </c>
      <c r="G667" t="s">
        <v>126</v>
      </c>
    </row>
    <row r="668" spans="1:7">
      <c r="A668" t="s">
        <v>426</v>
      </c>
      <c r="B668">
        <v>1.1999999999999999E-3</v>
      </c>
      <c r="C668" t="s">
        <v>172</v>
      </c>
      <c r="E668" t="s">
        <v>38</v>
      </c>
      <c r="F668" t="s">
        <v>217</v>
      </c>
      <c r="G668" t="s">
        <v>126</v>
      </c>
    </row>
    <row r="669" spans="1:7">
      <c r="A669" t="s">
        <v>1175</v>
      </c>
      <c r="B669">
        <v>0.9</v>
      </c>
      <c r="C669" t="s">
        <v>172</v>
      </c>
      <c r="E669" t="s">
        <v>38</v>
      </c>
      <c r="F669" t="s">
        <v>217</v>
      </c>
      <c r="G669" t="s">
        <v>126</v>
      </c>
    </row>
    <row r="670" spans="1:7">
      <c r="A670" t="s">
        <v>1176</v>
      </c>
      <c r="B670">
        <v>0.03</v>
      </c>
      <c r="C670" t="s">
        <v>172</v>
      </c>
      <c r="E670" t="s">
        <v>38</v>
      </c>
      <c r="F670" t="s">
        <v>217</v>
      </c>
      <c r="G670" t="s">
        <v>126</v>
      </c>
    </row>
    <row r="671" spans="1:7">
      <c r="A671" t="s">
        <v>429</v>
      </c>
      <c r="B671">
        <v>6</v>
      </c>
      <c r="C671" t="s">
        <v>172</v>
      </c>
      <c r="E671" t="s">
        <v>38</v>
      </c>
      <c r="F671" t="s">
        <v>217</v>
      </c>
      <c r="G671" t="s">
        <v>126</v>
      </c>
    </row>
    <row r="672" spans="1:7">
      <c r="A672" t="s">
        <v>1177</v>
      </c>
      <c r="B672">
        <v>1.7999999999999999E-2</v>
      </c>
      <c r="C672" t="s">
        <v>172</v>
      </c>
      <c r="E672" t="s">
        <v>38</v>
      </c>
      <c r="F672" t="s">
        <v>217</v>
      </c>
      <c r="G672" t="s">
        <v>126</v>
      </c>
    </row>
    <row r="673" spans="1:8">
      <c r="A673" t="s">
        <v>1178</v>
      </c>
      <c r="B673">
        <v>0.12</v>
      </c>
      <c r="C673" t="s">
        <v>172</v>
      </c>
      <c r="E673" t="s">
        <v>38</v>
      </c>
      <c r="F673" t="s">
        <v>217</v>
      </c>
      <c r="G673" t="s">
        <v>126</v>
      </c>
    </row>
    <row r="674" spans="1:8">
      <c r="A674" t="s">
        <v>1058</v>
      </c>
      <c r="B674">
        <v>0.3</v>
      </c>
      <c r="C674" t="s">
        <v>172</v>
      </c>
      <c r="E674" t="s">
        <v>38</v>
      </c>
      <c r="F674" t="s">
        <v>217</v>
      </c>
      <c r="G674" t="s">
        <v>126</v>
      </c>
    </row>
    <row r="675" spans="1:8">
      <c r="A675" t="s">
        <v>1001</v>
      </c>
      <c r="B675">
        <v>3.34</v>
      </c>
      <c r="C675" t="s">
        <v>172</v>
      </c>
      <c r="E675" t="s">
        <v>119</v>
      </c>
      <c r="F675" t="s">
        <v>222</v>
      </c>
      <c r="G675" t="s">
        <v>126</v>
      </c>
    </row>
    <row r="676" spans="1:8">
      <c r="A676" t="s">
        <v>518</v>
      </c>
      <c r="B676">
        <v>1.1999999999999999E-3</v>
      </c>
      <c r="C676" t="s">
        <v>172</v>
      </c>
      <c r="E676" t="s">
        <v>38</v>
      </c>
      <c r="F676" t="s">
        <v>217</v>
      </c>
      <c r="G676" t="s">
        <v>126</v>
      </c>
    </row>
    <row r="677" spans="1:8">
      <c r="A677" t="s">
        <v>1155</v>
      </c>
      <c r="B677">
        <v>1</v>
      </c>
      <c r="C677" t="s">
        <v>1413</v>
      </c>
      <c r="D677" t="s">
        <v>34</v>
      </c>
      <c r="E677" t="s">
        <v>131</v>
      </c>
      <c r="G677" t="s">
        <v>24</v>
      </c>
      <c r="H677" t="s">
        <v>1155</v>
      </c>
    </row>
    <row r="678" spans="1:8">
      <c r="A678" t="s">
        <v>1179</v>
      </c>
      <c r="B678">
        <v>20</v>
      </c>
      <c r="C678" t="s">
        <v>1367</v>
      </c>
      <c r="D678" t="s">
        <v>34</v>
      </c>
      <c r="E678" t="s">
        <v>38</v>
      </c>
      <c r="G678" t="s">
        <v>26</v>
      </c>
      <c r="H678" t="s">
        <v>1180</v>
      </c>
    </row>
    <row r="679" spans="1:8">
      <c r="A679" t="s">
        <v>1181</v>
      </c>
      <c r="B679">
        <v>270</v>
      </c>
      <c r="C679" t="s">
        <v>1367</v>
      </c>
      <c r="D679" t="s">
        <v>34</v>
      </c>
      <c r="E679" t="s">
        <v>38</v>
      </c>
      <c r="G679" t="s">
        <v>26</v>
      </c>
      <c r="H679" t="s">
        <v>1182</v>
      </c>
    </row>
    <row r="680" spans="1:8">
      <c r="A680" t="s">
        <v>1183</v>
      </c>
      <c r="B680">
        <v>200</v>
      </c>
      <c r="C680" t="s">
        <v>1367</v>
      </c>
      <c r="D680" t="s">
        <v>51</v>
      </c>
      <c r="E680" t="s">
        <v>38</v>
      </c>
      <c r="G680" t="s">
        <v>26</v>
      </c>
      <c r="H680" t="s">
        <v>260</v>
      </c>
    </row>
    <row r="681" spans="1:8">
      <c r="A681" t="s">
        <v>1184</v>
      </c>
      <c r="B681">
        <v>6300</v>
      </c>
      <c r="C681" t="s">
        <v>1367</v>
      </c>
      <c r="D681" t="s">
        <v>34</v>
      </c>
      <c r="E681" t="s">
        <v>33</v>
      </c>
      <c r="G681" t="s">
        <v>26</v>
      </c>
      <c r="H681" t="s">
        <v>1185</v>
      </c>
    </row>
    <row r="682" spans="1:8">
      <c r="A682" t="s">
        <v>1186</v>
      </c>
      <c r="B682">
        <v>0.2</v>
      </c>
      <c r="C682" t="s">
        <v>1367</v>
      </c>
      <c r="D682" t="s">
        <v>51</v>
      </c>
      <c r="E682" t="s">
        <v>38</v>
      </c>
      <c r="G682" t="s">
        <v>26</v>
      </c>
      <c r="H682" t="s">
        <v>1187</v>
      </c>
    </row>
    <row r="683" spans="1:8">
      <c r="A683" t="s">
        <v>183</v>
      </c>
      <c r="B683">
        <v>9.0500000000000007</v>
      </c>
      <c r="C683" t="s">
        <v>1367</v>
      </c>
      <c r="D683" t="s">
        <v>34</v>
      </c>
      <c r="E683" t="s">
        <v>38</v>
      </c>
      <c r="G683" t="s">
        <v>26</v>
      </c>
      <c r="H683" t="s">
        <v>184</v>
      </c>
    </row>
    <row r="684" spans="1:8">
      <c r="A684" t="s">
        <v>262</v>
      </c>
      <c r="B684">
        <v>42.2</v>
      </c>
      <c r="C684" t="s">
        <v>1367</v>
      </c>
      <c r="D684" t="s">
        <v>34</v>
      </c>
      <c r="E684" t="s">
        <v>38</v>
      </c>
      <c r="G684" t="s">
        <v>26</v>
      </c>
      <c r="H684" t="s">
        <v>263</v>
      </c>
    </row>
    <row r="685" spans="1:8">
      <c r="A685" t="s">
        <v>275</v>
      </c>
      <c r="B685">
        <v>60</v>
      </c>
      <c r="C685" t="s">
        <v>1367</v>
      </c>
      <c r="D685" t="s">
        <v>51</v>
      </c>
      <c r="E685" t="s">
        <v>38</v>
      </c>
      <c r="G685" t="s">
        <v>26</v>
      </c>
      <c r="H685" t="s">
        <v>276</v>
      </c>
    </row>
    <row r="686" spans="1:8">
      <c r="A686" t="s">
        <v>39</v>
      </c>
      <c r="B686">
        <v>210</v>
      </c>
      <c r="C686" t="s">
        <v>1367</v>
      </c>
      <c r="D686" t="s">
        <v>34</v>
      </c>
      <c r="E686" t="s">
        <v>38</v>
      </c>
      <c r="G686" t="s">
        <v>26</v>
      </c>
      <c r="H686" t="s">
        <v>40</v>
      </c>
    </row>
    <row r="687" spans="1:8">
      <c r="A687" t="s">
        <v>1262</v>
      </c>
      <c r="B687">
        <v>487</v>
      </c>
      <c r="C687" t="s">
        <v>1367</v>
      </c>
      <c r="D687" t="s">
        <v>34</v>
      </c>
      <c r="E687" t="s">
        <v>35</v>
      </c>
      <c r="G687" t="s">
        <v>26</v>
      </c>
      <c r="H687" t="s">
        <v>1254</v>
      </c>
    </row>
    <row r="688" spans="1:8">
      <c r="A688" t="s">
        <v>1261</v>
      </c>
      <c r="B688">
        <v>81.099999999999994</v>
      </c>
      <c r="C688" t="s">
        <v>1367</v>
      </c>
      <c r="D688" t="s">
        <v>34</v>
      </c>
      <c r="E688" t="s">
        <v>35</v>
      </c>
      <c r="G688" t="s">
        <v>26</v>
      </c>
      <c r="H688" t="s">
        <v>1260</v>
      </c>
    </row>
    <row r="689" spans="1:12">
      <c r="A689" t="s">
        <v>1188</v>
      </c>
      <c r="B689">
        <v>-237</v>
      </c>
      <c r="C689" t="s">
        <v>1367</v>
      </c>
      <c r="D689" t="s">
        <v>51</v>
      </c>
      <c r="E689" t="s">
        <v>38</v>
      </c>
      <c r="G689" t="s">
        <v>26</v>
      </c>
      <c r="H689" t="s">
        <v>1189</v>
      </c>
    </row>
    <row r="690" spans="1:12">
      <c r="A690" t="s">
        <v>1190</v>
      </c>
      <c r="B690">
        <v>-158</v>
      </c>
      <c r="C690" t="s">
        <v>1367</v>
      </c>
      <c r="D690" t="s">
        <v>51</v>
      </c>
      <c r="E690" t="s">
        <v>38</v>
      </c>
      <c r="G690" t="s">
        <v>26</v>
      </c>
      <c r="H690" t="s">
        <v>1189</v>
      </c>
    </row>
    <row r="691" spans="1:12">
      <c r="A691" t="s">
        <v>628</v>
      </c>
      <c r="B691">
        <v>-5</v>
      </c>
      <c r="C691" t="s">
        <v>1367</v>
      </c>
      <c r="D691" t="s">
        <v>51</v>
      </c>
      <c r="E691" t="s">
        <v>38</v>
      </c>
      <c r="G691" t="s">
        <v>26</v>
      </c>
      <c r="H691" t="s">
        <v>308</v>
      </c>
    </row>
    <row r="692" spans="1:12">
      <c r="J692" s="76"/>
      <c r="K692" s="76"/>
      <c r="L692" s="76"/>
    </row>
    <row r="693" spans="1:12">
      <c r="A693" s="67" t="s">
        <v>0</v>
      </c>
      <c r="B693" s="68" t="s">
        <v>1228</v>
      </c>
      <c r="C693" s="69"/>
      <c r="D693" s="64"/>
      <c r="E693" s="64"/>
      <c r="F693" s="64"/>
      <c r="G693" s="64"/>
      <c r="H693" s="64"/>
      <c r="I693" s="76"/>
      <c r="J693" s="76"/>
      <c r="K693" s="76"/>
      <c r="L693" s="76"/>
    </row>
    <row r="694" spans="1:12">
      <c r="A694" s="71" t="s">
        <v>2</v>
      </c>
      <c r="B694" s="72">
        <v>1</v>
      </c>
      <c r="C694" s="64"/>
      <c r="D694" s="64"/>
      <c r="E694" s="64"/>
      <c r="F694" s="64"/>
      <c r="G694" s="64"/>
      <c r="H694" s="64"/>
      <c r="I694" s="76"/>
      <c r="J694" s="76"/>
      <c r="K694" s="76"/>
      <c r="L694" s="76"/>
    </row>
    <row r="695" spans="1:12">
      <c r="A695" s="71" t="s">
        <v>13</v>
      </c>
      <c r="B695" s="72" t="s">
        <v>1408</v>
      </c>
      <c r="C695" s="64"/>
      <c r="D695" s="64"/>
      <c r="E695" s="64"/>
      <c r="F695" s="64"/>
      <c r="G695" s="64"/>
      <c r="H695" s="64"/>
      <c r="I695" s="76"/>
      <c r="J695" s="76"/>
      <c r="K695" s="76"/>
      <c r="L695" s="76"/>
    </row>
    <row r="696" spans="1:12">
      <c r="A696" s="71" t="s">
        <v>1229</v>
      </c>
      <c r="B696" s="98">
        <v>12</v>
      </c>
      <c r="C696" s="64"/>
      <c r="D696" s="64"/>
      <c r="E696" s="64"/>
      <c r="F696" s="64"/>
      <c r="G696" s="64"/>
      <c r="H696" s="64"/>
      <c r="I696" s="76"/>
      <c r="J696" s="76"/>
      <c r="K696" s="76"/>
      <c r="L696" s="76"/>
    </row>
    <row r="697" spans="1:12">
      <c r="A697" s="71" t="s">
        <v>1230</v>
      </c>
      <c r="B697" s="98">
        <v>0.13</v>
      </c>
      <c r="C697" s="64"/>
      <c r="D697" s="64"/>
      <c r="E697" s="64"/>
      <c r="F697" s="64"/>
      <c r="G697" s="64"/>
      <c r="H697" s="64"/>
      <c r="I697" s="76"/>
      <c r="J697" s="76"/>
      <c r="K697" s="76"/>
      <c r="L697" s="76"/>
    </row>
    <row r="698" spans="1:12">
      <c r="A698" s="71" t="s">
        <v>1231</v>
      </c>
      <c r="B698" s="99">
        <f>(1*B696)/((1*B696)+(3.91*B697))</f>
        <v>0.95936298297930178</v>
      </c>
      <c r="C698" s="64"/>
      <c r="D698" s="64"/>
      <c r="E698" s="64"/>
      <c r="F698" s="64"/>
      <c r="G698" s="64"/>
      <c r="H698" s="64"/>
      <c r="I698" s="76"/>
      <c r="J698" s="76"/>
      <c r="K698" s="76"/>
      <c r="L698" s="76"/>
    </row>
    <row r="699" spans="1:12">
      <c r="A699" s="71" t="s">
        <v>3</v>
      </c>
      <c r="B699" s="73" t="s">
        <v>1227</v>
      </c>
      <c r="C699" s="64"/>
      <c r="D699" s="64"/>
      <c r="E699" s="64"/>
      <c r="F699" s="64"/>
      <c r="G699" s="64"/>
      <c r="H699" s="64"/>
      <c r="I699" s="76"/>
      <c r="J699" s="76"/>
      <c r="K699" s="76"/>
      <c r="L699" s="76"/>
    </row>
    <row r="700" spans="1:12">
      <c r="A700" s="100" t="s">
        <v>1</v>
      </c>
      <c r="B700" s="101" t="s">
        <v>194</v>
      </c>
      <c r="C700" s="64"/>
      <c r="D700" s="64"/>
      <c r="E700" s="64"/>
      <c r="F700" s="64"/>
      <c r="G700" s="64"/>
      <c r="H700" s="64"/>
      <c r="I700" s="76"/>
      <c r="J700" s="76"/>
      <c r="K700" s="76"/>
      <c r="L700" s="76"/>
    </row>
    <row r="701" spans="1:12">
      <c r="A701" s="71" t="s">
        <v>5</v>
      </c>
      <c r="B701" s="72" t="s">
        <v>6</v>
      </c>
      <c r="C701" s="64"/>
      <c r="D701" s="64"/>
      <c r="E701" s="64"/>
      <c r="F701" s="64"/>
      <c r="G701" s="64"/>
      <c r="H701" s="64"/>
      <c r="I701" s="76"/>
      <c r="J701" s="76"/>
      <c r="K701" s="76"/>
      <c r="L701" s="76"/>
    </row>
    <row r="702" spans="1:12">
      <c r="A702" s="71" t="s">
        <v>7</v>
      </c>
      <c r="B702" s="74" t="s">
        <v>38</v>
      </c>
      <c r="C702" s="64"/>
      <c r="D702" s="64"/>
      <c r="E702" s="64"/>
      <c r="F702" s="64"/>
      <c r="G702" s="64"/>
      <c r="H702" s="75"/>
      <c r="I702" s="76"/>
      <c r="J702" s="76"/>
      <c r="K702" s="76"/>
      <c r="L702" s="76"/>
    </row>
    <row r="703" spans="1:12">
      <c r="A703" s="75" t="s">
        <v>14</v>
      </c>
      <c r="B703" s="68"/>
      <c r="C703" s="75"/>
      <c r="D703" s="75"/>
      <c r="E703" s="75"/>
      <c r="F703" s="75"/>
      <c r="G703" s="75"/>
      <c r="H703" s="69"/>
      <c r="I703" s="76"/>
      <c r="J703" s="76"/>
      <c r="K703" s="76"/>
      <c r="L703" s="76"/>
    </row>
    <row r="704" spans="1:12">
      <c r="A704" s="75" t="s">
        <v>15</v>
      </c>
      <c r="B704" s="68" t="s">
        <v>16</v>
      </c>
      <c r="C704" s="1" t="s">
        <v>17</v>
      </c>
      <c r="D704" s="75" t="s">
        <v>1</v>
      </c>
      <c r="E704" s="75" t="s">
        <v>7</v>
      </c>
      <c r="F704" s="75" t="s">
        <v>18</v>
      </c>
      <c r="G704" s="75" t="s">
        <v>5</v>
      </c>
      <c r="H704" s="75" t="s">
        <v>3</v>
      </c>
      <c r="I704" s="84" t="s">
        <v>13</v>
      </c>
      <c r="J704" s="76"/>
      <c r="K704" s="76"/>
      <c r="L704" s="76"/>
    </row>
    <row r="705" spans="1:12">
      <c r="A705" s="74" t="str">
        <f>B693</f>
        <v>hydrogen production, gaseous, 25 bar, from methane pyrolysis</v>
      </c>
      <c r="B705" s="102">
        <v>1</v>
      </c>
      <c r="C705" s="76" t="s">
        <v>1413</v>
      </c>
      <c r="D705" s="64" t="str">
        <f>B700</f>
        <v>FR</v>
      </c>
      <c r="E705" s="64" t="str">
        <f>B702</f>
        <v>kilogram</v>
      </c>
      <c r="F705" s="69"/>
      <c r="G705" s="64" t="s">
        <v>24</v>
      </c>
      <c r="H705" s="74" t="str">
        <f>B699</f>
        <v>hydrogen, gaseous</v>
      </c>
      <c r="I705" s="69" t="s">
        <v>1232</v>
      </c>
      <c r="J705" s="76" t="s">
        <v>1145</v>
      </c>
      <c r="K705" s="76"/>
      <c r="L705" s="76"/>
    </row>
    <row r="706" spans="1:12">
      <c r="A706" s="64" t="s">
        <v>1233</v>
      </c>
      <c r="B706" s="102">
        <v>1.1E-5</v>
      </c>
      <c r="C706" s="76" t="s">
        <v>1367</v>
      </c>
      <c r="D706" s="64" t="s">
        <v>34</v>
      </c>
      <c r="E706" s="64" t="s">
        <v>38</v>
      </c>
      <c r="F706" s="75"/>
      <c r="G706" s="64" t="s">
        <v>26</v>
      </c>
      <c r="H706" s="64" t="s">
        <v>1234</v>
      </c>
      <c r="I706" s="69" t="s">
        <v>1232</v>
      </c>
      <c r="J706" s="76"/>
      <c r="K706" s="76"/>
      <c r="L706" s="76"/>
    </row>
    <row r="707" spans="1:12">
      <c r="A707" s="64" t="s">
        <v>67</v>
      </c>
      <c r="B707" s="102">
        <v>7.3300000000000001E-6</v>
      </c>
      <c r="C707" s="76" t="s">
        <v>1367</v>
      </c>
      <c r="D707" s="64" t="s">
        <v>34</v>
      </c>
      <c r="E707" s="64" t="s">
        <v>38</v>
      </c>
      <c r="F707" s="64"/>
      <c r="G707" s="64" t="s">
        <v>26</v>
      </c>
      <c r="H707" s="64" t="s">
        <v>68</v>
      </c>
      <c r="I707" s="69" t="s">
        <v>1232</v>
      </c>
      <c r="J707" s="76"/>
      <c r="K707" s="76"/>
      <c r="L707" s="76"/>
    </row>
    <row r="708" spans="1:12">
      <c r="A708" s="64" t="s">
        <v>139</v>
      </c>
      <c r="B708" s="102">
        <v>2.5899999999999999E-3</v>
      </c>
      <c r="C708" s="76" t="s">
        <v>1367</v>
      </c>
      <c r="D708" s="64" t="s">
        <v>34</v>
      </c>
      <c r="E708" s="64" t="s">
        <v>38</v>
      </c>
      <c r="F708" s="64"/>
      <c r="G708" s="64" t="s">
        <v>26</v>
      </c>
      <c r="H708" s="64" t="s">
        <v>140</v>
      </c>
      <c r="I708" s="69" t="s">
        <v>1235</v>
      </c>
      <c r="J708" s="76"/>
      <c r="K708" s="76"/>
      <c r="L708" s="76"/>
    </row>
    <row r="709" spans="1:12">
      <c r="A709" s="64" t="s">
        <v>392</v>
      </c>
      <c r="B709" s="102">
        <v>3.3599999999999998E-2</v>
      </c>
      <c r="C709" s="76" t="s">
        <v>1367</v>
      </c>
      <c r="D709" s="64" t="s">
        <v>34</v>
      </c>
      <c r="E709" s="64" t="s">
        <v>38</v>
      </c>
      <c r="F709" s="64"/>
      <c r="G709" s="64" t="s">
        <v>26</v>
      </c>
      <c r="H709" s="64" t="s">
        <v>393</v>
      </c>
      <c r="I709" s="69" t="s">
        <v>1236</v>
      </c>
      <c r="J709" s="76"/>
      <c r="K709" s="76"/>
      <c r="L709" s="76"/>
    </row>
    <row r="710" spans="1:12">
      <c r="A710" s="64" t="s">
        <v>139</v>
      </c>
      <c r="B710" s="102">
        <v>5.0699999999999996E-4</v>
      </c>
      <c r="C710" s="76" t="s">
        <v>1367</v>
      </c>
      <c r="D710" s="64" t="s">
        <v>34</v>
      </c>
      <c r="E710" s="64" t="s">
        <v>38</v>
      </c>
      <c r="F710" s="64"/>
      <c r="G710" s="64" t="s">
        <v>26</v>
      </c>
      <c r="H710" s="64" t="s">
        <v>140</v>
      </c>
      <c r="I710" s="69" t="s">
        <v>1237</v>
      </c>
      <c r="J710" s="76"/>
      <c r="K710" s="76"/>
      <c r="L710" s="76"/>
    </row>
    <row r="711" spans="1:12">
      <c r="A711" s="64" t="s">
        <v>1238</v>
      </c>
      <c r="B711" s="102">
        <v>4.1999999999999996E-6</v>
      </c>
      <c r="C711" s="76" t="s">
        <v>1367</v>
      </c>
      <c r="D711" s="64" t="s">
        <v>34</v>
      </c>
      <c r="E711" s="64" t="s">
        <v>38</v>
      </c>
      <c r="F711" s="64"/>
      <c r="G711" s="64" t="s">
        <v>26</v>
      </c>
      <c r="H711" s="64" t="s">
        <v>1239</v>
      </c>
      <c r="I711" s="69" t="s">
        <v>1240</v>
      </c>
      <c r="J711" s="76"/>
      <c r="K711" s="76"/>
      <c r="L711" s="76"/>
    </row>
    <row r="712" spans="1:12">
      <c r="A712" s="64" t="s">
        <v>1241</v>
      </c>
      <c r="B712" s="102">
        <v>6.36E-8</v>
      </c>
      <c r="C712" s="76" t="s">
        <v>1367</v>
      </c>
      <c r="D712" s="64" t="s">
        <v>34</v>
      </c>
      <c r="E712" s="64" t="s">
        <v>7</v>
      </c>
      <c r="F712" s="64"/>
      <c r="G712" s="64" t="s">
        <v>26</v>
      </c>
      <c r="H712" s="64" t="s">
        <v>1242</v>
      </c>
      <c r="I712" s="69" t="s">
        <v>1243</v>
      </c>
      <c r="J712" s="76"/>
      <c r="K712" s="76"/>
      <c r="L712" s="76"/>
    </row>
    <row r="713" spans="1:12">
      <c r="A713" s="103" t="s">
        <v>926</v>
      </c>
      <c r="B713" s="102">
        <v>5.67</v>
      </c>
      <c r="C713" s="76" t="s">
        <v>1367</v>
      </c>
      <c r="D713" s="96" t="s">
        <v>194</v>
      </c>
      <c r="E713" s="64" t="s">
        <v>119</v>
      </c>
      <c r="F713" s="64"/>
      <c r="G713" s="64" t="s">
        <v>26</v>
      </c>
      <c r="H713" s="64" t="s">
        <v>925</v>
      </c>
      <c r="I713" s="64" t="s">
        <v>1244</v>
      </c>
      <c r="J713" s="76"/>
      <c r="K713" s="76"/>
      <c r="L713" s="76"/>
    </row>
    <row r="714" spans="1:12">
      <c r="A714" s="103" t="s">
        <v>1216</v>
      </c>
      <c r="B714" s="102">
        <f>0.3*(120/3.6)*B698</f>
        <v>9.5936298297930183</v>
      </c>
      <c r="C714" s="76" t="s">
        <v>1367</v>
      </c>
      <c r="D714" s="96" t="s">
        <v>194</v>
      </c>
      <c r="E714" s="64" t="s">
        <v>8</v>
      </c>
      <c r="F714" s="64"/>
      <c r="G714" s="64" t="s">
        <v>26</v>
      </c>
      <c r="H714" s="64" t="s">
        <v>4</v>
      </c>
      <c r="I714" s="64" t="s">
        <v>1245</v>
      </c>
      <c r="J714" s="76"/>
      <c r="K714" s="76"/>
      <c r="L714" s="76"/>
    </row>
    <row r="715" spans="1:12">
      <c r="A715" s="74" t="s">
        <v>623</v>
      </c>
      <c r="B715" s="102">
        <f>8.08*B698</f>
        <v>7.7516529024727587</v>
      </c>
      <c r="C715" s="76" t="s">
        <v>1367</v>
      </c>
      <c r="D715" s="64" t="s">
        <v>169</v>
      </c>
      <c r="E715" s="64" t="s">
        <v>38</v>
      </c>
      <c r="F715" s="64"/>
      <c r="G715" s="64" t="s">
        <v>26</v>
      </c>
      <c r="H715" s="64" t="s">
        <v>624</v>
      </c>
      <c r="I715" s="64"/>
      <c r="J715" s="76"/>
      <c r="K715" s="76"/>
      <c r="L715" s="76"/>
    </row>
    <row r="716" spans="1:12">
      <c r="A716" s="74" t="s">
        <v>595</v>
      </c>
      <c r="B716" s="102">
        <f>B715*0.9/1000</f>
        <v>6.9764876122254829E-3</v>
      </c>
      <c r="C716" t="s">
        <v>172</v>
      </c>
      <c r="D716" s="64"/>
      <c r="E716" s="64" t="s">
        <v>119</v>
      </c>
      <c r="F716" s="64" t="s">
        <v>596</v>
      </c>
      <c r="G716" s="64" t="s">
        <v>126</v>
      </c>
      <c r="H716" s="64"/>
      <c r="I716" s="64" t="s">
        <v>1246</v>
      </c>
      <c r="J716" s="76"/>
      <c r="K716" s="76"/>
      <c r="L716" s="76"/>
    </row>
    <row r="717" spans="1:12">
      <c r="A717" s="74" t="s">
        <v>595</v>
      </c>
      <c r="B717" s="102">
        <f>B715*0.1/1000</f>
        <v>7.7516529024727584E-4</v>
      </c>
      <c r="C717" t="s">
        <v>172</v>
      </c>
      <c r="D717" s="64"/>
      <c r="E717" s="64" t="s">
        <v>119</v>
      </c>
      <c r="F717" s="64" t="s">
        <v>127</v>
      </c>
      <c r="G717" s="64" t="s">
        <v>126</v>
      </c>
      <c r="H717" s="64"/>
      <c r="I717" s="64" t="s">
        <v>1247</v>
      </c>
      <c r="J717" s="76"/>
      <c r="K717" s="76"/>
      <c r="L717" s="76"/>
    </row>
    <row r="718" spans="1:12">
      <c r="A718" s="71" t="s">
        <v>621</v>
      </c>
      <c r="B718" s="104">
        <f>2.5*B698</f>
        <v>2.3984074574482546</v>
      </c>
      <c r="C718" t="s">
        <v>172</v>
      </c>
      <c r="D718" s="64"/>
      <c r="E718" s="64" t="s">
        <v>38</v>
      </c>
      <c r="F718" s="69" t="s">
        <v>127</v>
      </c>
      <c r="G718" s="64" t="s">
        <v>126</v>
      </c>
      <c r="H718" s="64"/>
      <c r="I718" s="69"/>
    </row>
  </sheetData>
  <phoneticPr fontId="2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72E4-A540-414C-B13C-5F53730327B4}">
  <dimension ref="A1:M181"/>
  <sheetViews>
    <sheetView topLeftCell="A162" zoomScale="85" zoomScaleNormal="85" workbookViewId="0">
      <selection activeCell="E173" sqref="E173"/>
    </sheetView>
  </sheetViews>
  <sheetFormatPr defaultColWidth="10.58203125" defaultRowHeight="15.5"/>
  <cols>
    <col min="1" max="1" width="73" customWidth="1"/>
  </cols>
  <sheetData>
    <row r="1" spans="1:11">
      <c r="A1" s="1" t="s">
        <v>0</v>
      </c>
      <c r="B1" s="1" t="s">
        <v>1039</v>
      </c>
    </row>
    <row r="2" spans="1:11">
      <c r="A2" t="s">
        <v>2</v>
      </c>
      <c r="B2">
        <v>1</v>
      </c>
    </row>
    <row r="3" spans="1:11">
      <c r="A3" t="s">
        <v>13</v>
      </c>
      <c r="B3" t="s">
        <v>1409</v>
      </c>
    </row>
    <row r="4" spans="1:11">
      <c r="A4" t="s">
        <v>3</v>
      </c>
      <c r="B4" t="s">
        <v>1227</v>
      </c>
    </row>
    <row r="5" spans="1:11">
      <c r="A5" t="s">
        <v>1</v>
      </c>
      <c r="B5" t="s">
        <v>194</v>
      </c>
    </row>
    <row r="6" spans="1:11">
      <c r="A6" t="s">
        <v>7</v>
      </c>
      <c r="B6" t="s">
        <v>38</v>
      </c>
      <c r="D6" s="45"/>
      <c r="E6" s="43"/>
      <c r="F6" s="45"/>
      <c r="G6" s="45"/>
      <c r="H6" s="46"/>
      <c r="I6" s="45"/>
      <c r="J6" s="45"/>
      <c r="K6" s="46"/>
    </row>
    <row r="7" spans="1:11">
      <c r="A7" s="1" t="s">
        <v>14</v>
      </c>
    </row>
    <row r="8" spans="1:11">
      <c r="A8" t="s">
        <v>15</v>
      </c>
      <c r="B8" t="s">
        <v>16</v>
      </c>
      <c r="C8" t="s">
        <v>17</v>
      </c>
      <c r="D8" t="s">
        <v>1</v>
      </c>
      <c r="E8" t="s">
        <v>7</v>
      </c>
      <c r="F8" t="s">
        <v>18</v>
      </c>
      <c r="G8" t="s">
        <v>5</v>
      </c>
      <c r="H8" t="s">
        <v>3</v>
      </c>
      <c r="I8" t="s">
        <v>13</v>
      </c>
    </row>
    <row r="9" spans="1:11">
      <c r="A9" t="s">
        <v>410</v>
      </c>
      <c r="B9">
        <v>2.290875814212306E-5</v>
      </c>
      <c r="E9" t="s">
        <v>38</v>
      </c>
      <c r="F9" t="s">
        <v>596</v>
      </c>
      <c r="G9" t="s">
        <v>126</v>
      </c>
    </row>
    <row r="10" spans="1:11">
      <c r="A10" t="s">
        <v>917</v>
      </c>
      <c r="B10">
        <v>1.034684988119249E-5</v>
      </c>
      <c r="E10" t="s">
        <v>38</v>
      </c>
      <c r="F10" t="s">
        <v>127</v>
      </c>
      <c r="G10" t="s">
        <v>126</v>
      </c>
    </row>
    <row r="11" spans="1:11">
      <c r="A11" t="s">
        <v>917</v>
      </c>
      <c r="B11">
        <v>2.9732327244806041E-8</v>
      </c>
      <c r="E11" t="s">
        <v>38</v>
      </c>
      <c r="F11" t="s">
        <v>596</v>
      </c>
      <c r="G11" t="s">
        <v>126</v>
      </c>
    </row>
    <row r="12" spans="1:11">
      <c r="A12" t="s">
        <v>1040</v>
      </c>
      <c r="B12">
        <v>5.0247633043722206E-6</v>
      </c>
      <c r="E12" t="s">
        <v>38</v>
      </c>
      <c r="F12" t="s">
        <v>127</v>
      </c>
      <c r="G12" t="s">
        <v>126</v>
      </c>
    </row>
    <row r="13" spans="1:11">
      <c r="A13" t="s">
        <v>1041</v>
      </c>
      <c r="B13">
        <v>1.4866163622403001E-7</v>
      </c>
      <c r="E13" t="s">
        <v>38</v>
      </c>
      <c r="F13" t="s">
        <v>127</v>
      </c>
      <c r="G13" t="s">
        <v>126</v>
      </c>
    </row>
    <row r="14" spans="1:11">
      <c r="A14" t="s">
        <v>1042</v>
      </c>
      <c r="B14">
        <v>5.2031572678410568E-6</v>
      </c>
      <c r="E14" t="s">
        <v>38</v>
      </c>
      <c r="F14" t="s">
        <v>127</v>
      </c>
      <c r="G14" t="s">
        <v>126</v>
      </c>
    </row>
    <row r="15" spans="1:11">
      <c r="A15" t="s">
        <v>412</v>
      </c>
      <c r="B15">
        <v>1.0043580143295471E-4</v>
      </c>
      <c r="E15" t="s">
        <v>38</v>
      </c>
      <c r="F15" t="s">
        <v>596</v>
      </c>
      <c r="G15" t="s">
        <v>126</v>
      </c>
    </row>
    <row r="16" spans="1:11">
      <c r="A16" t="s">
        <v>621</v>
      </c>
      <c r="B16">
        <v>0.72469077896625256</v>
      </c>
      <c r="E16" t="s">
        <v>38</v>
      </c>
      <c r="F16" t="s">
        <v>127</v>
      </c>
      <c r="G16" t="s">
        <v>126</v>
      </c>
    </row>
    <row r="17" spans="1:7">
      <c r="A17" t="s">
        <v>915</v>
      </c>
      <c r="B17">
        <v>2.1269020294571999E-4</v>
      </c>
      <c r="E17" t="s">
        <v>38</v>
      </c>
      <c r="F17" t="s">
        <v>127</v>
      </c>
      <c r="G17" t="s">
        <v>126</v>
      </c>
    </row>
    <row r="18" spans="1:7">
      <c r="A18" t="s">
        <v>1043</v>
      </c>
      <c r="B18">
        <v>3.2765024623776253E-5</v>
      </c>
      <c r="E18" t="s">
        <v>38</v>
      </c>
      <c r="F18" t="s">
        <v>596</v>
      </c>
      <c r="G18" t="s">
        <v>126</v>
      </c>
    </row>
    <row r="19" spans="1:7">
      <c r="A19" t="s">
        <v>1044</v>
      </c>
      <c r="B19">
        <v>7.3141525022222708E-6</v>
      </c>
      <c r="E19" t="s">
        <v>38</v>
      </c>
      <c r="F19" t="s">
        <v>127</v>
      </c>
      <c r="G19" t="s">
        <v>126</v>
      </c>
    </row>
    <row r="20" spans="1:7">
      <c r="A20" t="s">
        <v>1045</v>
      </c>
      <c r="B20">
        <v>2.0099053217488879E-5</v>
      </c>
      <c r="E20" t="s">
        <v>38</v>
      </c>
      <c r="F20" t="s">
        <v>127</v>
      </c>
      <c r="G20" t="s">
        <v>126</v>
      </c>
    </row>
    <row r="21" spans="1:7">
      <c r="A21" t="s">
        <v>1046</v>
      </c>
      <c r="B21">
        <v>5.203157267841057E-7</v>
      </c>
      <c r="E21" t="s">
        <v>38</v>
      </c>
      <c r="F21" t="s">
        <v>127</v>
      </c>
      <c r="G21" t="s">
        <v>126</v>
      </c>
    </row>
    <row r="22" spans="1:7">
      <c r="A22" t="s">
        <v>1047</v>
      </c>
      <c r="B22">
        <v>5.3518189040650872E-7</v>
      </c>
      <c r="E22" t="s">
        <v>38</v>
      </c>
      <c r="F22" t="s">
        <v>127</v>
      </c>
      <c r="G22" t="s">
        <v>126</v>
      </c>
    </row>
    <row r="23" spans="1:7">
      <c r="A23" t="s">
        <v>1048</v>
      </c>
      <c r="B23">
        <v>1.932601270912393E-7</v>
      </c>
      <c r="E23" t="s">
        <v>38</v>
      </c>
      <c r="F23" t="s">
        <v>127</v>
      </c>
      <c r="G23" t="s">
        <v>126</v>
      </c>
    </row>
    <row r="24" spans="1:7">
      <c r="A24" t="s">
        <v>1049</v>
      </c>
      <c r="B24">
        <v>8.0277283560976165E-7</v>
      </c>
      <c r="E24" t="s">
        <v>38</v>
      </c>
      <c r="F24" t="s">
        <v>127</v>
      </c>
      <c r="G24" t="s">
        <v>126</v>
      </c>
    </row>
    <row r="25" spans="1:7">
      <c r="A25" t="s">
        <v>955</v>
      </c>
      <c r="B25">
        <v>7.1357585387534344E-7</v>
      </c>
      <c r="E25" t="s">
        <v>38</v>
      </c>
      <c r="F25" t="s">
        <v>127</v>
      </c>
      <c r="G25" t="s">
        <v>126</v>
      </c>
    </row>
    <row r="26" spans="1:7">
      <c r="A26" t="s">
        <v>736</v>
      </c>
      <c r="B26">
        <v>1.4970226767759841E-5</v>
      </c>
      <c r="E26" t="s">
        <v>38</v>
      </c>
      <c r="F26" t="s">
        <v>127</v>
      </c>
      <c r="G26" t="s">
        <v>126</v>
      </c>
    </row>
    <row r="27" spans="1:7">
      <c r="A27" t="s">
        <v>1050</v>
      </c>
      <c r="B27">
        <v>2.8245710882565738E-7</v>
      </c>
      <c r="E27" t="s">
        <v>38</v>
      </c>
      <c r="F27" t="s">
        <v>127</v>
      </c>
      <c r="G27" t="s">
        <v>126</v>
      </c>
    </row>
    <row r="28" spans="1:7">
      <c r="A28" t="s">
        <v>630</v>
      </c>
      <c r="B28">
        <v>2.1109952343812288E-6</v>
      </c>
      <c r="E28" t="s">
        <v>38</v>
      </c>
      <c r="F28" t="s">
        <v>127</v>
      </c>
      <c r="G28" t="s">
        <v>126</v>
      </c>
    </row>
    <row r="29" spans="1:7">
      <c r="A29" t="s">
        <v>1051</v>
      </c>
      <c r="B29">
        <v>3.8149549087810626E-9</v>
      </c>
      <c r="E29" t="s">
        <v>38</v>
      </c>
      <c r="F29" t="s">
        <v>596</v>
      </c>
      <c r="G29" t="s">
        <v>126</v>
      </c>
    </row>
    <row r="30" spans="1:7">
      <c r="A30" t="s">
        <v>1296</v>
      </c>
      <c r="B30">
        <v>1.4866163622403E-8</v>
      </c>
      <c r="E30" t="s">
        <v>38</v>
      </c>
      <c r="F30" t="s">
        <v>127</v>
      </c>
      <c r="G30" t="s">
        <v>126</v>
      </c>
    </row>
    <row r="31" spans="1:7">
      <c r="A31" t="s">
        <v>954</v>
      </c>
      <c r="B31">
        <v>1.9980123908509662E-5</v>
      </c>
      <c r="E31" t="s">
        <v>38</v>
      </c>
      <c r="F31" t="s">
        <v>127</v>
      </c>
      <c r="G31" t="s">
        <v>126</v>
      </c>
    </row>
    <row r="32" spans="1:7">
      <c r="A32" t="s">
        <v>1052</v>
      </c>
      <c r="B32">
        <v>3.2705559969286637E-7</v>
      </c>
      <c r="E32" t="s">
        <v>38</v>
      </c>
      <c r="F32" t="s">
        <v>127</v>
      </c>
      <c r="G32" t="s">
        <v>126</v>
      </c>
    </row>
    <row r="33" spans="1:7">
      <c r="A33" t="s">
        <v>1053</v>
      </c>
      <c r="B33">
        <v>3.941911946116385E-4</v>
      </c>
      <c r="E33" t="s">
        <v>38</v>
      </c>
      <c r="F33" t="s">
        <v>127</v>
      </c>
      <c r="G33" t="s">
        <v>126</v>
      </c>
    </row>
    <row r="34" spans="1:7">
      <c r="A34" t="s">
        <v>423</v>
      </c>
      <c r="B34">
        <v>1.3528208896386731E-6</v>
      </c>
      <c r="E34" t="s">
        <v>38</v>
      </c>
      <c r="F34" t="s">
        <v>596</v>
      </c>
      <c r="G34" t="s">
        <v>126</v>
      </c>
    </row>
    <row r="35" spans="1:7">
      <c r="A35" t="s">
        <v>424</v>
      </c>
      <c r="B35">
        <v>4.7982029707667982E-4</v>
      </c>
      <c r="E35" t="s">
        <v>38</v>
      </c>
      <c r="F35" t="s">
        <v>127</v>
      </c>
      <c r="G35" t="s">
        <v>126</v>
      </c>
    </row>
    <row r="36" spans="1:7">
      <c r="A36" t="s">
        <v>187</v>
      </c>
      <c r="B36">
        <v>4.1876496307947068E-4</v>
      </c>
      <c r="E36" t="s">
        <v>188</v>
      </c>
      <c r="F36" t="s">
        <v>185</v>
      </c>
      <c r="G36" t="s">
        <v>126</v>
      </c>
    </row>
    <row r="37" spans="1:7">
      <c r="A37" t="s">
        <v>425</v>
      </c>
      <c r="B37">
        <v>1.187955135066224E-4</v>
      </c>
      <c r="E37" t="s">
        <v>38</v>
      </c>
      <c r="F37" t="s">
        <v>596</v>
      </c>
      <c r="G37" t="s">
        <v>126</v>
      </c>
    </row>
    <row r="38" spans="1:7">
      <c r="A38" t="s">
        <v>1054</v>
      </c>
      <c r="B38">
        <v>3.6080179111572132E-5</v>
      </c>
      <c r="E38" t="s">
        <v>38</v>
      </c>
      <c r="F38" t="s">
        <v>127</v>
      </c>
      <c r="G38" t="s">
        <v>126</v>
      </c>
    </row>
    <row r="39" spans="1:7">
      <c r="A39" t="s">
        <v>1055</v>
      </c>
      <c r="B39">
        <v>2.9732327244806041E-8</v>
      </c>
      <c r="E39" t="s">
        <v>38</v>
      </c>
      <c r="F39" t="s">
        <v>596</v>
      </c>
      <c r="G39" t="s">
        <v>126</v>
      </c>
    </row>
    <row r="40" spans="1:7">
      <c r="A40" t="s">
        <v>1056</v>
      </c>
      <c r="B40">
        <v>8.8602335189521863E-6</v>
      </c>
      <c r="E40" t="s">
        <v>38</v>
      </c>
      <c r="F40" t="s">
        <v>127</v>
      </c>
      <c r="G40" t="s">
        <v>126</v>
      </c>
    </row>
    <row r="41" spans="1:7">
      <c r="A41" t="s">
        <v>1057</v>
      </c>
      <c r="B41">
        <v>4.4598490867209062E-7</v>
      </c>
      <c r="E41" t="s">
        <v>38</v>
      </c>
      <c r="F41" t="s">
        <v>127</v>
      </c>
      <c r="G41" t="s">
        <v>126</v>
      </c>
    </row>
    <row r="42" spans="1:7">
      <c r="A42" t="s">
        <v>430</v>
      </c>
      <c r="B42">
        <v>6.3224307269717803E-4</v>
      </c>
      <c r="E42" t="s">
        <v>38</v>
      </c>
      <c r="F42" t="s">
        <v>596</v>
      </c>
      <c r="G42" t="s">
        <v>126</v>
      </c>
    </row>
    <row r="43" spans="1:7">
      <c r="A43" t="s">
        <v>887</v>
      </c>
      <c r="B43">
        <v>1.48215651315358E-5</v>
      </c>
      <c r="E43" t="s">
        <v>38</v>
      </c>
      <c r="F43" t="s">
        <v>127</v>
      </c>
      <c r="G43" t="s">
        <v>126</v>
      </c>
    </row>
    <row r="44" spans="1:7">
      <c r="A44" t="s">
        <v>1058</v>
      </c>
      <c r="B44">
        <v>4.1164407070433969E-5</v>
      </c>
      <c r="E44" t="s">
        <v>38</v>
      </c>
      <c r="F44" t="s">
        <v>596</v>
      </c>
      <c r="G44" t="s">
        <v>126</v>
      </c>
    </row>
    <row r="45" spans="1:7">
      <c r="A45" t="s">
        <v>1059</v>
      </c>
      <c r="B45">
        <v>1.639737847551053E-5</v>
      </c>
      <c r="E45" t="s">
        <v>38</v>
      </c>
      <c r="F45" t="s">
        <v>127</v>
      </c>
      <c r="G45" t="s">
        <v>126</v>
      </c>
    </row>
    <row r="46" spans="1:7">
      <c r="A46" t="s">
        <v>1059</v>
      </c>
      <c r="B46">
        <v>3.6719424147335461E-6</v>
      </c>
      <c r="E46" t="s">
        <v>38</v>
      </c>
      <c r="F46" t="s">
        <v>596</v>
      </c>
      <c r="G46" t="s">
        <v>126</v>
      </c>
    </row>
    <row r="47" spans="1:7">
      <c r="A47" t="s">
        <v>595</v>
      </c>
      <c r="B47">
        <v>2.1353834746136698E-3</v>
      </c>
      <c r="E47" t="s">
        <v>119</v>
      </c>
      <c r="F47" t="s">
        <v>127</v>
      </c>
      <c r="G47" t="s">
        <v>126</v>
      </c>
    </row>
    <row r="48" spans="1:7">
      <c r="A48" t="s">
        <v>595</v>
      </c>
      <c r="B48">
        <v>0.1016219186642124</v>
      </c>
      <c r="E48" t="s">
        <v>119</v>
      </c>
      <c r="F48" t="s">
        <v>596</v>
      </c>
      <c r="G48" t="s">
        <v>126</v>
      </c>
    </row>
    <row r="49" spans="1:7">
      <c r="A49" t="s">
        <v>597</v>
      </c>
      <c r="B49">
        <v>0.1022501572384145</v>
      </c>
      <c r="E49" t="s">
        <v>119</v>
      </c>
      <c r="F49" t="s">
        <v>222</v>
      </c>
      <c r="G49" t="s">
        <v>126</v>
      </c>
    </row>
    <row r="50" spans="1:7">
      <c r="A50" t="s">
        <v>1060</v>
      </c>
      <c r="B50">
        <v>4.1625258142728458E-7</v>
      </c>
      <c r="E50" t="s">
        <v>38</v>
      </c>
      <c r="F50" t="s">
        <v>596</v>
      </c>
      <c r="G50" t="s">
        <v>126</v>
      </c>
    </row>
    <row r="51" spans="1:7">
      <c r="A51" t="s">
        <v>1061</v>
      </c>
      <c r="B51">
        <v>2.4231846704516922E-6</v>
      </c>
      <c r="E51" t="s">
        <v>38</v>
      </c>
      <c r="F51" t="s">
        <v>127</v>
      </c>
      <c r="G51" t="s">
        <v>126</v>
      </c>
    </row>
    <row r="52" spans="1:7">
      <c r="A52" t="s">
        <v>1039</v>
      </c>
      <c r="B52">
        <v>1</v>
      </c>
      <c r="C52" t="s">
        <v>1413</v>
      </c>
      <c r="D52" t="s">
        <v>194</v>
      </c>
      <c r="E52" t="s">
        <v>38</v>
      </c>
      <c r="G52" t="s">
        <v>24</v>
      </c>
    </row>
    <row r="53" spans="1:7">
      <c r="A53" t="s">
        <v>616</v>
      </c>
      <c r="B53">
        <v>4.3739699353837358E-10</v>
      </c>
      <c r="C53" t="s">
        <v>171</v>
      </c>
      <c r="D53" t="s">
        <v>20</v>
      </c>
      <c r="E53" t="s">
        <v>7</v>
      </c>
      <c r="G53" t="s">
        <v>26</v>
      </c>
    </row>
    <row r="54" spans="1:7">
      <c r="A54" t="s">
        <v>1062</v>
      </c>
      <c r="B54">
        <v>0.19711505403113319</v>
      </c>
      <c r="C54" t="s">
        <v>171</v>
      </c>
      <c r="D54" t="s">
        <v>34</v>
      </c>
      <c r="E54" t="s">
        <v>38</v>
      </c>
      <c r="G54" t="s">
        <v>26</v>
      </c>
    </row>
    <row r="55" spans="1:7">
      <c r="A55" t="s">
        <v>1063</v>
      </c>
      <c r="B55">
        <v>1.4663909466320209E-2</v>
      </c>
      <c r="C55" t="s">
        <v>171</v>
      </c>
      <c r="D55" t="s">
        <v>20</v>
      </c>
      <c r="E55" t="s">
        <v>119</v>
      </c>
      <c r="G55" t="s">
        <v>26</v>
      </c>
    </row>
    <row r="56" spans="1:7">
      <c r="A56" t="s">
        <v>1064</v>
      </c>
      <c r="B56">
        <v>5.475418236136477E-2</v>
      </c>
      <c r="C56" t="s">
        <v>171</v>
      </c>
      <c r="D56" t="s">
        <v>34</v>
      </c>
      <c r="E56" t="s">
        <v>38</v>
      </c>
      <c r="G56" t="s">
        <v>26</v>
      </c>
    </row>
    <row r="57" spans="1:7">
      <c r="A57" t="s">
        <v>573</v>
      </c>
      <c r="B57">
        <v>-3.7053732533739222E-3</v>
      </c>
      <c r="C57" t="s">
        <v>171</v>
      </c>
      <c r="D57" t="s">
        <v>169</v>
      </c>
      <c r="E57" t="s">
        <v>38</v>
      </c>
      <c r="G57" t="s">
        <v>26</v>
      </c>
    </row>
    <row r="58" spans="1:7">
      <c r="A58" t="s">
        <v>573</v>
      </c>
      <c r="B58">
        <v>-9.6856219346363158E-5</v>
      </c>
      <c r="C58" t="s">
        <v>171</v>
      </c>
      <c r="D58" t="s">
        <v>155</v>
      </c>
      <c r="E58" t="s">
        <v>38</v>
      </c>
      <c r="G58" t="s">
        <v>26</v>
      </c>
    </row>
    <row r="59" spans="1:7">
      <c r="A59" t="s">
        <v>1065</v>
      </c>
      <c r="B59">
        <v>-1.057995132679177E-3</v>
      </c>
      <c r="C59" t="s">
        <v>171</v>
      </c>
      <c r="D59" t="s">
        <v>20</v>
      </c>
      <c r="E59" t="s">
        <v>38</v>
      </c>
      <c r="G59" t="s">
        <v>26</v>
      </c>
    </row>
    <row r="60" spans="1:7">
      <c r="A60" t="s">
        <v>930</v>
      </c>
      <c r="B60">
        <v>-3.7626260128302048E-4</v>
      </c>
      <c r="C60" t="s">
        <v>171</v>
      </c>
      <c r="D60" t="s">
        <v>155</v>
      </c>
      <c r="E60" t="s">
        <v>38</v>
      </c>
      <c r="G60" t="s">
        <v>26</v>
      </c>
    </row>
    <row r="61" spans="1:7">
      <c r="A61" t="s">
        <v>527</v>
      </c>
      <c r="B61">
        <v>2.3348796585346179E-4</v>
      </c>
      <c r="C61" t="s">
        <v>171</v>
      </c>
      <c r="D61" t="s">
        <v>20</v>
      </c>
      <c r="E61" t="s">
        <v>38</v>
      </c>
      <c r="G61" t="s">
        <v>26</v>
      </c>
    </row>
    <row r="62" spans="1:7">
      <c r="A62" t="s">
        <v>166</v>
      </c>
      <c r="B62">
        <v>0.77872615874411011</v>
      </c>
      <c r="C62" t="s">
        <v>171</v>
      </c>
      <c r="D62" t="s">
        <v>20</v>
      </c>
      <c r="E62" t="s">
        <v>38</v>
      </c>
      <c r="G62" t="s">
        <v>26</v>
      </c>
    </row>
    <row r="63" spans="1:7">
      <c r="A63" t="s">
        <v>1066</v>
      </c>
      <c r="B63">
        <v>2.676871027898723E-2</v>
      </c>
      <c r="C63" t="s">
        <v>171</v>
      </c>
      <c r="D63" t="s">
        <v>34</v>
      </c>
      <c r="E63" t="s">
        <v>38</v>
      </c>
      <c r="G63" t="s">
        <v>26</v>
      </c>
    </row>
    <row r="64" spans="1:7">
      <c r="A64" t="s">
        <v>281</v>
      </c>
      <c r="B64">
        <v>1.1272253700523449E-2</v>
      </c>
      <c r="C64" t="s">
        <v>171</v>
      </c>
      <c r="D64" t="s">
        <v>20</v>
      </c>
      <c r="E64" t="s">
        <v>38</v>
      </c>
      <c r="G64" t="s">
        <v>26</v>
      </c>
    </row>
    <row r="65" spans="1:13">
      <c r="A65" t="s">
        <v>1067</v>
      </c>
      <c r="B65">
        <v>9.2473736521964889E-2</v>
      </c>
      <c r="C65" t="s">
        <v>171</v>
      </c>
      <c r="D65" t="s">
        <v>34</v>
      </c>
      <c r="E65" t="s">
        <v>38</v>
      </c>
      <c r="G65" t="s">
        <v>26</v>
      </c>
    </row>
    <row r="66" spans="1:13">
      <c r="A66" t="s">
        <v>1068</v>
      </c>
      <c r="B66">
        <v>1.825139000415496E-2</v>
      </c>
      <c r="C66" t="s">
        <v>171</v>
      </c>
      <c r="D66" t="s">
        <v>34</v>
      </c>
      <c r="E66" t="s">
        <v>38</v>
      </c>
      <c r="G66" t="s">
        <v>26</v>
      </c>
    </row>
    <row r="67" spans="1:13">
      <c r="A67" t="s">
        <v>543</v>
      </c>
      <c r="B67">
        <v>4.9366366864186158E-3</v>
      </c>
      <c r="C67" t="s">
        <v>171</v>
      </c>
      <c r="D67" t="s">
        <v>20</v>
      </c>
      <c r="E67" t="s">
        <v>38</v>
      </c>
      <c r="G67" t="s">
        <v>26</v>
      </c>
    </row>
    <row r="68" spans="1:13">
      <c r="A68" t="s">
        <v>1069</v>
      </c>
      <c r="B68">
        <v>-6.6307154220606021E-4</v>
      </c>
      <c r="C68" t="s">
        <v>171</v>
      </c>
      <c r="D68" t="s">
        <v>169</v>
      </c>
      <c r="E68" t="s">
        <v>119</v>
      </c>
      <c r="G68" t="s">
        <v>26</v>
      </c>
    </row>
    <row r="69" spans="1:13">
      <c r="A69" t="s">
        <v>1069</v>
      </c>
      <c r="B69">
        <v>-1.666396926432992E-5</v>
      </c>
      <c r="C69" t="s">
        <v>171</v>
      </c>
      <c r="D69" t="s">
        <v>155</v>
      </c>
      <c r="E69" t="s">
        <v>119</v>
      </c>
      <c r="G69" t="s">
        <v>26</v>
      </c>
    </row>
    <row r="70" spans="1:13">
      <c r="A70" t="s">
        <v>173</v>
      </c>
      <c r="B70">
        <v>7.843978852153979E-3</v>
      </c>
      <c r="C70" t="s">
        <v>171</v>
      </c>
      <c r="D70" t="s">
        <v>155</v>
      </c>
      <c r="E70" t="s">
        <v>38</v>
      </c>
      <c r="G70" t="s">
        <v>26</v>
      </c>
      <c r="I70" t="s">
        <v>1070</v>
      </c>
    </row>
    <row r="71" spans="1:13">
      <c r="A71" t="s">
        <v>173</v>
      </c>
      <c r="B71">
        <v>2.179032183388161</v>
      </c>
      <c r="C71" t="s">
        <v>171</v>
      </c>
      <c r="D71" t="s">
        <v>169</v>
      </c>
      <c r="E71" t="s">
        <v>38</v>
      </c>
      <c r="G71" t="s">
        <v>26</v>
      </c>
      <c r="I71" t="s">
        <v>1070</v>
      </c>
    </row>
    <row r="72" spans="1:13">
      <c r="A72" t="s">
        <v>1071</v>
      </c>
      <c r="B72">
        <v>4.8670385693313119E-2</v>
      </c>
      <c r="C72" t="s">
        <v>171</v>
      </c>
      <c r="D72" t="s">
        <v>20</v>
      </c>
      <c r="E72" t="s">
        <v>38</v>
      </c>
      <c r="G72" t="s">
        <v>26</v>
      </c>
    </row>
    <row r="73" spans="1:13">
      <c r="A73" s="48" t="s">
        <v>1216</v>
      </c>
      <c r="B73">
        <v>0.1206742546667308</v>
      </c>
      <c r="C73" t="s">
        <v>171</v>
      </c>
      <c r="D73" s="48" t="s">
        <v>194</v>
      </c>
      <c r="E73" t="s">
        <v>8</v>
      </c>
      <c r="G73" t="s">
        <v>26</v>
      </c>
      <c r="H73" t="s">
        <v>4</v>
      </c>
      <c r="I73" t="s">
        <v>1113</v>
      </c>
    </row>
    <row r="74" spans="1:13">
      <c r="A74" s="10"/>
      <c r="B74" s="10"/>
      <c r="C74" s="10"/>
      <c r="D74" s="10"/>
      <c r="E74" s="10"/>
      <c r="F74" s="10"/>
      <c r="G74" s="10"/>
      <c r="H74" s="10"/>
      <c r="I74" s="10"/>
      <c r="J74" s="10"/>
      <c r="K74" s="10"/>
      <c r="L74" s="10"/>
      <c r="M74" s="10"/>
    </row>
    <row r="75" spans="1:13">
      <c r="A75" s="1" t="s">
        <v>0</v>
      </c>
      <c r="B75" s="1" t="s">
        <v>1072</v>
      </c>
      <c r="G75" s="44"/>
    </row>
    <row r="76" spans="1:13">
      <c r="A76" t="s">
        <v>2</v>
      </c>
      <c r="B76">
        <v>1</v>
      </c>
      <c r="G76" s="44"/>
    </row>
    <row r="77" spans="1:13">
      <c r="A77" t="s">
        <v>13</v>
      </c>
      <c r="B77" t="s">
        <v>1410</v>
      </c>
      <c r="G77" s="44"/>
    </row>
    <row r="78" spans="1:13">
      <c r="A78" t="s">
        <v>3</v>
      </c>
      <c r="B78" t="s">
        <v>1227</v>
      </c>
      <c r="G78" s="44"/>
    </row>
    <row r="79" spans="1:13">
      <c r="A79" t="s">
        <v>1</v>
      </c>
      <c r="B79" t="s">
        <v>194</v>
      </c>
      <c r="G79" s="44"/>
    </row>
    <row r="80" spans="1:13">
      <c r="A80" t="s">
        <v>7</v>
      </c>
      <c r="B80" t="s">
        <v>38</v>
      </c>
    </row>
    <row r="81" spans="1:9">
      <c r="A81" s="1" t="s">
        <v>14</v>
      </c>
    </row>
    <row r="82" spans="1:9">
      <c r="A82" s="47" t="s">
        <v>15</v>
      </c>
      <c r="B82" s="47" t="s">
        <v>16</v>
      </c>
      <c r="C82" s="47" t="s">
        <v>17</v>
      </c>
      <c r="D82" s="47" t="s">
        <v>1</v>
      </c>
      <c r="E82" s="47" t="s">
        <v>7</v>
      </c>
      <c r="F82" s="47" t="s">
        <v>18</v>
      </c>
      <c r="G82" s="47" t="s">
        <v>5</v>
      </c>
      <c r="H82" s="47" t="s">
        <v>3</v>
      </c>
      <c r="I82" s="47" t="s">
        <v>13</v>
      </c>
    </row>
    <row r="83" spans="1:9">
      <c r="A83" t="s">
        <v>1073</v>
      </c>
      <c r="B83">
        <v>8.3694580254035589E-7</v>
      </c>
      <c r="E83" t="s">
        <v>38</v>
      </c>
      <c r="F83" t="s">
        <v>596</v>
      </c>
      <c r="G83" t="s">
        <v>126</v>
      </c>
    </row>
    <row r="84" spans="1:9">
      <c r="A84" t="s">
        <v>1074</v>
      </c>
      <c r="B84">
        <v>5.6079316189810751E-7</v>
      </c>
      <c r="E84" t="s">
        <v>38</v>
      </c>
      <c r="F84" t="s">
        <v>596</v>
      </c>
      <c r="G84" t="s">
        <v>126</v>
      </c>
    </row>
    <row r="85" spans="1:9">
      <c r="A85" t="s">
        <v>1075</v>
      </c>
      <c r="B85">
        <v>1.2037983153977149E-6</v>
      </c>
      <c r="E85" t="s">
        <v>38</v>
      </c>
      <c r="F85" t="s">
        <v>127</v>
      </c>
      <c r="G85" t="s">
        <v>126</v>
      </c>
    </row>
    <row r="86" spans="1:9">
      <c r="A86" t="s">
        <v>1076</v>
      </c>
      <c r="B86">
        <v>3.7691104527982108E-7</v>
      </c>
      <c r="E86" t="s">
        <v>38</v>
      </c>
      <c r="F86" t="s">
        <v>596</v>
      </c>
      <c r="G86" t="s">
        <v>126</v>
      </c>
    </row>
    <row r="87" spans="1:9">
      <c r="A87" t="s">
        <v>1077</v>
      </c>
      <c r="B87">
        <v>7.2616959215911558E-9</v>
      </c>
      <c r="E87" t="s">
        <v>38</v>
      </c>
      <c r="F87" t="s">
        <v>596</v>
      </c>
      <c r="G87" t="s">
        <v>126</v>
      </c>
    </row>
    <row r="88" spans="1:9">
      <c r="A88" t="s">
        <v>410</v>
      </c>
      <c r="B88">
        <v>2.512871768643899E-6</v>
      </c>
      <c r="E88" t="s">
        <v>38</v>
      </c>
      <c r="F88" t="s">
        <v>596</v>
      </c>
      <c r="G88" t="s">
        <v>126</v>
      </c>
    </row>
    <row r="89" spans="1:9">
      <c r="A89" t="s">
        <v>1297</v>
      </c>
      <c r="B89">
        <v>1.061142874979862E-7</v>
      </c>
      <c r="E89" t="s">
        <v>38</v>
      </c>
      <c r="F89" t="s">
        <v>596</v>
      </c>
      <c r="G89" t="s">
        <v>126</v>
      </c>
    </row>
    <row r="90" spans="1:9">
      <c r="A90" t="s">
        <v>1298</v>
      </c>
      <c r="B90">
        <v>1.8926638913192181E-7</v>
      </c>
      <c r="E90" t="s">
        <v>38</v>
      </c>
      <c r="F90" t="s">
        <v>596</v>
      </c>
      <c r="G90" t="s">
        <v>126</v>
      </c>
    </row>
    <row r="91" spans="1:9">
      <c r="A91" t="s">
        <v>1078</v>
      </c>
      <c r="B91">
        <v>1.3495495723347739E-7</v>
      </c>
      <c r="E91" t="s">
        <v>38</v>
      </c>
      <c r="F91" t="s">
        <v>596</v>
      </c>
      <c r="G91" t="s">
        <v>126</v>
      </c>
    </row>
    <row r="92" spans="1:9">
      <c r="A92" t="s">
        <v>412</v>
      </c>
      <c r="B92">
        <v>5.6946752915235183E-5</v>
      </c>
      <c r="E92" t="s">
        <v>38</v>
      </c>
      <c r="F92" t="s">
        <v>596</v>
      </c>
      <c r="G92" t="s">
        <v>126</v>
      </c>
    </row>
    <row r="93" spans="1:9">
      <c r="A93" t="s">
        <v>1079</v>
      </c>
      <c r="B93">
        <v>2.2885899532275929E-12</v>
      </c>
      <c r="E93" t="s">
        <v>38</v>
      </c>
      <c r="F93" t="s">
        <v>596</v>
      </c>
      <c r="G93" t="s">
        <v>126</v>
      </c>
    </row>
    <row r="94" spans="1:9">
      <c r="A94" t="s">
        <v>621</v>
      </c>
      <c r="B94">
        <v>8.372926899173256E-3</v>
      </c>
      <c r="E94" t="s">
        <v>38</v>
      </c>
      <c r="F94" t="s">
        <v>127</v>
      </c>
      <c r="G94" t="s">
        <v>126</v>
      </c>
    </row>
    <row r="95" spans="1:9">
      <c r="A95" t="s">
        <v>915</v>
      </c>
      <c r="B95">
        <v>1.1111600084076509E-5</v>
      </c>
      <c r="E95" t="s">
        <v>38</v>
      </c>
      <c r="F95" t="s">
        <v>127</v>
      </c>
      <c r="G95" t="s">
        <v>126</v>
      </c>
    </row>
    <row r="96" spans="1:9">
      <c r="A96" t="s">
        <v>1080</v>
      </c>
      <c r="B96">
        <v>1.918850281109954E-3</v>
      </c>
      <c r="E96" t="s">
        <v>38</v>
      </c>
      <c r="F96" t="s">
        <v>596</v>
      </c>
      <c r="G96" t="s">
        <v>126</v>
      </c>
    </row>
    <row r="97" spans="1:9">
      <c r="A97" t="s">
        <v>414</v>
      </c>
      <c r="B97">
        <v>0.17303312944371049</v>
      </c>
      <c r="E97" t="s">
        <v>38</v>
      </c>
      <c r="F97" t="s">
        <v>596</v>
      </c>
      <c r="G97" t="s">
        <v>126</v>
      </c>
    </row>
    <row r="98" spans="1:9">
      <c r="A98" t="s">
        <v>1081</v>
      </c>
      <c r="B98">
        <v>1.0797322472483651E-6</v>
      </c>
      <c r="E98" t="s">
        <v>38</v>
      </c>
      <c r="F98" t="s">
        <v>127</v>
      </c>
      <c r="G98" t="s">
        <v>126</v>
      </c>
    </row>
    <row r="99" spans="1:9">
      <c r="A99" t="s">
        <v>1081</v>
      </c>
      <c r="B99">
        <v>8.6731395136998647E-7</v>
      </c>
      <c r="E99" t="s">
        <v>38</v>
      </c>
      <c r="F99" t="s">
        <v>596</v>
      </c>
      <c r="G99" t="s">
        <v>126</v>
      </c>
    </row>
    <row r="100" spans="1:9">
      <c r="A100" t="s">
        <v>1082</v>
      </c>
      <c r="B100">
        <v>3.7416270680739793E-7</v>
      </c>
      <c r="E100" t="s">
        <v>38</v>
      </c>
      <c r="F100" t="s">
        <v>596</v>
      </c>
      <c r="G100" t="s">
        <v>126</v>
      </c>
    </row>
    <row r="101" spans="1:9">
      <c r="A101" t="s">
        <v>1083</v>
      </c>
      <c r="B101">
        <v>1.113461386508039E-7</v>
      </c>
      <c r="E101" t="s">
        <v>38</v>
      </c>
      <c r="F101" t="s">
        <v>596</v>
      </c>
      <c r="G101" t="s">
        <v>126</v>
      </c>
    </row>
    <row r="102" spans="1:9">
      <c r="A102" t="s">
        <v>1084</v>
      </c>
      <c r="B102">
        <v>4.1646925847387351E-7</v>
      </c>
      <c r="E102" t="s">
        <v>38</v>
      </c>
      <c r="F102" t="s">
        <v>596</v>
      </c>
      <c r="G102" t="s">
        <v>126</v>
      </c>
    </row>
    <row r="103" spans="1:9">
      <c r="A103" t="s">
        <v>1085</v>
      </c>
      <c r="B103">
        <v>3.1230744494401228E-8</v>
      </c>
      <c r="E103" t="s">
        <v>38</v>
      </c>
      <c r="F103" t="s">
        <v>596</v>
      </c>
      <c r="G103" t="s">
        <v>126</v>
      </c>
    </row>
    <row r="104" spans="1:9">
      <c r="A104" t="s">
        <v>1043</v>
      </c>
      <c r="B104">
        <v>1.8857391521250739E-5</v>
      </c>
      <c r="E104" t="s">
        <v>38</v>
      </c>
      <c r="F104" t="s">
        <v>596</v>
      </c>
      <c r="G104" t="s">
        <v>126</v>
      </c>
    </row>
    <row r="105" spans="1:9">
      <c r="A105" t="s">
        <v>956</v>
      </c>
      <c r="B105">
        <v>5.2637568924234448E-8</v>
      </c>
      <c r="E105" t="s">
        <v>38</v>
      </c>
      <c r="F105" t="s">
        <v>127</v>
      </c>
      <c r="G105" t="s">
        <v>126</v>
      </c>
    </row>
    <row r="106" spans="1:9">
      <c r="A106" t="s">
        <v>911</v>
      </c>
      <c r="B106">
        <v>7.7430626750866715E-10</v>
      </c>
      <c r="E106" t="s">
        <v>38</v>
      </c>
      <c r="F106" t="s">
        <v>596</v>
      </c>
      <c r="G106" t="s">
        <v>126</v>
      </c>
    </row>
    <row r="107" spans="1:9">
      <c r="A107" t="s">
        <v>1295</v>
      </c>
      <c r="B107">
        <v>1.235838574742904E-8</v>
      </c>
      <c r="E107" t="s">
        <v>38</v>
      </c>
      <c r="F107" t="s">
        <v>596</v>
      </c>
      <c r="G107" t="s">
        <v>126</v>
      </c>
    </row>
    <row r="108" spans="1:9">
      <c r="A108" t="s">
        <v>415</v>
      </c>
      <c r="B108">
        <v>1.558234144035188E-6</v>
      </c>
      <c r="E108" t="s">
        <v>38</v>
      </c>
      <c r="F108" t="s">
        <v>596</v>
      </c>
      <c r="G108" t="s">
        <v>126</v>
      </c>
    </row>
    <row r="109" spans="1:9">
      <c r="A109" t="s">
        <v>1086</v>
      </c>
      <c r="B109">
        <v>2.566543060793294E-6</v>
      </c>
      <c r="E109" t="s">
        <v>38</v>
      </c>
      <c r="F109" t="s">
        <v>127</v>
      </c>
      <c r="G109" t="s">
        <v>126</v>
      </c>
    </row>
    <row r="110" spans="1:9">
      <c r="A110" t="s">
        <v>630</v>
      </c>
      <c r="B110">
        <v>1.400235426839253E-2</v>
      </c>
      <c r="E110" t="s">
        <v>38</v>
      </c>
      <c r="F110" t="s">
        <v>127</v>
      </c>
      <c r="G110" t="s">
        <v>126</v>
      </c>
    </row>
    <row r="111" spans="1:9">
      <c r="A111" s="48" t="s">
        <v>630</v>
      </c>
      <c r="B111" s="48">
        <f>B2*0.15</f>
        <v>0.15</v>
      </c>
      <c r="E111" t="s">
        <v>38</v>
      </c>
      <c r="F111" t="s">
        <v>127</v>
      </c>
      <c r="G111" t="s">
        <v>126</v>
      </c>
      <c r="I111" t="s">
        <v>1308</v>
      </c>
    </row>
    <row r="112" spans="1:9">
      <c r="A112" t="s">
        <v>1087</v>
      </c>
      <c r="B112">
        <v>4.3136620853059249E-6</v>
      </c>
      <c r="E112" t="s">
        <v>38</v>
      </c>
      <c r="F112" t="s">
        <v>596</v>
      </c>
      <c r="G112" t="s">
        <v>126</v>
      </c>
    </row>
    <row r="113" spans="1:7">
      <c r="A113" t="s">
        <v>1088</v>
      </c>
      <c r="B113">
        <v>1.2989273711202099E-8</v>
      </c>
      <c r="E113" t="s">
        <v>38</v>
      </c>
      <c r="F113" t="s">
        <v>596</v>
      </c>
      <c r="G113" t="s">
        <v>126</v>
      </c>
    </row>
    <row r="114" spans="1:7">
      <c r="A114" t="s">
        <v>1051</v>
      </c>
      <c r="B114">
        <v>1.144294976613796E-10</v>
      </c>
      <c r="E114" t="s">
        <v>38</v>
      </c>
      <c r="F114" t="s">
        <v>127</v>
      </c>
      <c r="G114" t="s">
        <v>126</v>
      </c>
    </row>
    <row r="115" spans="1:7">
      <c r="A115" t="s">
        <v>1051</v>
      </c>
      <c r="B115">
        <v>4.0621803050161488E-8</v>
      </c>
      <c r="E115" t="s">
        <v>38</v>
      </c>
      <c r="F115" t="s">
        <v>596</v>
      </c>
      <c r="G115" t="s">
        <v>126</v>
      </c>
    </row>
    <row r="116" spans="1:7">
      <c r="A116" t="s">
        <v>1299</v>
      </c>
      <c r="B116">
        <v>3.7609161564706812E-7</v>
      </c>
      <c r="E116" t="s">
        <v>38</v>
      </c>
      <c r="F116" t="s">
        <v>127</v>
      </c>
      <c r="G116" t="s">
        <v>126</v>
      </c>
    </row>
    <row r="117" spans="1:7">
      <c r="A117" t="s">
        <v>1300</v>
      </c>
      <c r="B117">
        <v>1.46469757006566E-8</v>
      </c>
      <c r="E117" t="s">
        <v>38</v>
      </c>
      <c r="F117" t="s">
        <v>217</v>
      </c>
      <c r="G117" t="s">
        <v>126</v>
      </c>
    </row>
    <row r="118" spans="1:7">
      <c r="A118" t="s">
        <v>1299</v>
      </c>
      <c r="B118">
        <v>5.5829389045669526E-7</v>
      </c>
      <c r="E118" t="s">
        <v>38</v>
      </c>
      <c r="F118" t="s">
        <v>127</v>
      </c>
      <c r="G118" t="s">
        <v>126</v>
      </c>
    </row>
    <row r="119" spans="1:7">
      <c r="A119" t="s">
        <v>954</v>
      </c>
      <c r="B119">
        <v>7.3997741821025355E-8</v>
      </c>
      <c r="E119" t="s">
        <v>38</v>
      </c>
      <c r="F119" t="s">
        <v>127</v>
      </c>
      <c r="G119" t="s">
        <v>126</v>
      </c>
    </row>
    <row r="120" spans="1:7">
      <c r="A120" t="s">
        <v>1090</v>
      </c>
      <c r="B120">
        <v>1.9784143205558329E-7</v>
      </c>
      <c r="E120" t="s">
        <v>38</v>
      </c>
      <c r="F120" t="s">
        <v>596</v>
      </c>
      <c r="G120" t="s">
        <v>126</v>
      </c>
    </row>
    <row r="121" spans="1:7">
      <c r="A121" t="s">
        <v>514</v>
      </c>
      <c r="B121">
        <v>5.004285530221966E-5</v>
      </c>
      <c r="E121" t="s">
        <v>38</v>
      </c>
      <c r="F121" t="s">
        <v>596</v>
      </c>
      <c r="G121" t="s">
        <v>126</v>
      </c>
    </row>
    <row r="122" spans="1:7">
      <c r="A122" t="s">
        <v>423</v>
      </c>
      <c r="B122">
        <v>1.698712836767282E-5</v>
      </c>
      <c r="E122" t="s">
        <v>38</v>
      </c>
      <c r="F122" t="s">
        <v>596</v>
      </c>
      <c r="G122" t="s">
        <v>126</v>
      </c>
    </row>
    <row r="123" spans="1:7">
      <c r="A123" t="s">
        <v>424</v>
      </c>
      <c r="B123">
        <v>2.2918931513934191E-5</v>
      </c>
      <c r="E123" t="s">
        <v>38</v>
      </c>
      <c r="F123" t="s">
        <v>127</v>
      </c>
      <c r="G123" t="s">
        <v>126</v>
      </c>
    </row>
    <row r="124" spans="1:7">
      <c r="A124" t="s">
        <v>1091</v>
      </c>
      <c r="B124">
        <v>6.4080518690372733E-9</v>
      </c>
      <c r="E124" t="s">
        <v>38</v>
      </c>
      <c r="F124" t="s">
        <v>127</v>
      </c>
      <c r="G124" t="s">
        <v>126</v>
      </c>
    </row>
    <row r="125" spans="1:7">
      <c r="A125" t="s">
        <v>1092</v>
      </c>
      <c r="B125">
        <v>3.8416118382214851E-5</v>
      </c>
      <c r="E125" t="s">
        <v>38</v>
      </c>
      <c r="F125" t="s">
        <v>127</v>
      </c>
      <c r="G125" t="s">
        <v>126</v>
      </c>
    </row>
    <row r="126" spans="1:7">
      <c r="A126" t="s">
        <v>1054</v>
      </c>
      <c r="B126">
        <v>2.2428181541630409E-8</v>
      </c>
      <c r="E126" t="s">
        <v>38</v>
      </c>
      <c r="F126" t="s">
        <v>127</v>
      </c>
      <c r="G126" t="s">
        <v>126</v>
      </c>
    </row>
    <row r="127" spans="1:7">
      <c r="A127" t="s">
        <v>426</v>
      </c>
      <c r="B127">
        <v>2.387058366837173E-6</v>
      </c>
      <c r="E127" t="s">
        <v>38</v>
      </c>
      <c r="F127" t="s">
        <v>596</v>
      </c>
      <c r="G127" t="s">
        <v>126</v>
      </c>
    </row>
    <row r="128" spans="1:7">
      <c r="A128" t="s">
        <v>1093</v>
      </c>
      <c r="B128">
        <v>2.1163911704918099E-3</v>
      </c>
      <c r="E128" t="s">
        <v>38</v>
      </c>
      <c r="F128" t="s">
        <v>596</v>
      </c>
      <c r="G128" t="s">
        <v>126</v>
      </c>
    </row>
    <row r="129" spans="1:7">
      <c r="A129" t="s">
        <v>430</v>
      </c>
      <c r="B129">
        <v>1.3099182546222129E-2</v>
      </c>
      <c r="E129" t="s">
        <v>38</v>
      </c>
      <c r="F129" t="s">
        <v>596</v>
      </c>
      <c r="G129" t="s">
        <v>126</v>
      </c>
    </row>
    <row r="130" spans="1:7">
      <c r="A130" t="s">
        <v>1094</v>
      </c>
      <c r="B130">
        <v>3.8143165887126599E-10</v>
      </c>
      <c r="E130" t="s">
        <v>38</v>
      </c>
      <c r="F130" t="s">
        <v>127</v>
      </c>
      <c r="G130" t="s">
        <v>126</v>
      </c>
    </row>
    <row r="131" spans="1:7">
      <c r="A131" t="s">
        <v>432</v>
      </c>
      <c r="B131">
        <v>5.9940018328590238E-5</v>
      </c>
      <c r="E131" t="s">
        <v>38</v>
      </c>
      <c r="F131" t="s">
        <v>596</v>
      </c>
      <c r="G131" t="s">
        <v>126</v>
      </c>
    </row>
    <row r="132" spans="1:7">
      <c r="A132" t="s">
        <v>1058</v>
      </c>
      <c r="B132">
        <v>1.8857391521250739E-5</v>
      </c>
      <c r="E132" t="s">
        <v>38</v>
      </c>
      <c r="F132" t="s">
        <v>596</v>
      </c>
      <c r="G132" t="s">
        <v>126</v>
      </c>
    </row>
    <row r="133" spans="1:7">
      <c r="A133" t="s">
        <v>1095</v>
      </c>
      <c r="B133">
        <v>6.9420561914570219E-10</v>
      </c>
      <c r="E133" t="s">
        <v>38</v>
      </c>
      <c r="F133" t="s">
        <v>596</v>
      </c>
      <c r="G133" t="s">
        <v>126</v>
      </c>
    </row>
    <row r="134" spans="1:7">
      <c r="A134" t="s">
        <v>1096</v>
      </c>
      <c r="B134">
        <v>1.2665219992882449E-9</v>
      </c>
      <c r="E134" t="s">
        <v>38</v>
      </c>
      <c r="F134" t="s">
        <v>596</v>
      </c>
      <c r="G134" t="s">
        <v>126</v>
      </c>
    </row>
    <row r="135" spans="1:7">
      <c r="A135" t="s">
        <v>595</v>
      </c>
      <c r="B135">
        <v>1.6391833298436579E-2</v>
      </c>
      <c r="E135" t="s">
        <v>119</v>
      </c>
      <c r="F135" t="s">
        <v>1097</v>
      </c>
      <c r="G135" t="s">
        <v>126</v>
      </c>
    </row>
    <row r="136" spans="1:7">
      <c r="A136" t="s">
        <v>595</v>
      </c>
      <c r="B136">
        <v>0.1191505242506235</v>
      </c>
      <c r="E136" t="s">
        <v>119</v>
      </c>
      <c r="F136" t="s">
        <v>217</v>
      </c>
      <c r="G136" t="s">
        <v>126</v>
      </c>
    </row>
    <row r="137" spans="1:7">
      <c r="A137" t="s">
        <v>595</v>
      </c>
      <c r="B137">
        <v>4.121643094607761E-2</v>
      </c>
      <c r="E137" t="s">
        <v>119</v>
      </c>
      <c r="F137" t="s">
        <v>596</v>
      </c>
      <c r="G137" t="s">
        <v>126</v>
      </c>
    </row>
    <row r="138" spans="1:7">
      <c r="A138" t="s">
        <v>597</v>
      </c>
      <c r="B138">
        <v>0.18545426022206479</v>
      </c>
      <c r="E138" t="s">
        <v>119</v>
      </c>
      <c r="F138" t="s">
        <v>222</v>
      </c>
      <c r="G138" t="s">
        <v>126</v>
      </c>
    </row>
    <row r="139" spans="1:7">
      <c r="A139" t="s">
        <v>1060</v>
      </c>
      <c r="B139">
        <v>4.5187161016252639E-6</v>
      </c>
      <c r="E139" t="s">
        <v>38</v>
      </c>
      <c r="F139" t="s">
        <v>596</v>
      </c>
      <c r="G139" t="s">
        <v>126</v>
      </c>
    </row>
    <row r="140" spans="1:7">
      <c r="A140" t="s">
        <v>1072</v>
      </c>
      <c r="B140">
        <v>1</v>
      </c>
      <c r="C140" t="s">
        <v>1413</v>
      </c>
      <c r="D140" t="s">
        <v>194</v>
      </c>
      <c r="E140" t="s">
        <v>38</v>
      </c>
      <c r="G140" t="s">
        <v>24</v>
      </c>
    </row>
    <row r="141" spans="1:7">
      <c r="A141" t="s">
        <v>616</v>
      </c>
      <c r="B141">
        <v>1.8370482192824879E-9</v>
      </c>
      <c r="C141" t="s">
        <v>171</v>
      </c>
      <c r="D141" t="s">
        <v>20</v>
      </c>
      <c r="E141" t="s">
        <v>7</v>
      </c>
      <c r="G141" t="s">
        <v>26</v>
      </c>
    </row>
    <row r="142" spans="1:7">
      <c r="A142" t="s">
        <v>1098</v>
      </c>
      <c r="B142">
        <v>2.7466254854504519E-5</v>
      </c>
      <c r="C142" t="s">
        <v>171</v>
      </c>
      <c r="D142" t="s">
        <v>34</v>
      </c>
      <c r="E142" t="s">
        <v>38</v>
      </c>
      <c r="G142" t="s">
        <v>26</v>
      </c>
    </row>
    <row r="143" spans="1:7">
      <c r="A143" t="s">
        <v>1099</v>
      </c>
      <c r="B143">
        <v>1.101574630820214E-6</v>
      </c>
      <c r="C143" t="s">
        <v>171</v>
      </c>
      <c r="D143" t="s">
        <v>20</v>
      </c>
      <c r="E143" t="s">
        <v>38</v>
      </c>
      <c r="G143" t="s">
        <v>26</v>
      </c>
    </row>
    <row r="144" spans="1:7">
      <c r="A144" t="s">
        <v>239</v>
      </c>
      <c r="B144">
        <v>4.8421094214233877E-5</v>
      </c>
      <c r="C144" t="s">
        <v>171</v>
      </c>
      <c r="D144" t="s">
        <v>20</v>
      </c>
      <c r="E144" t="s">
        <v>38</v>
      </c>
      <c r="G144" t="s">
        <v>26</v>
      </c>
    </row>
    <row r="145" spans="1:9">
      <c r="A145" t="s">
        <v>1100</v>
      </c>
      <c r="B145">
        <v>2.26769525257146E-4</v>
      </c>
      <c r="C145" t="s">
        <v>171</v>
      </c>
      <c r="D145" t="s">
        <v>34</v>
      </c>
      <c r="E145" t="s">
        <v>38</v>
      </c>
      <c r="G145" t="s">
        <v>26</v>
      </c>
    </row>
    <row r="146" spans="1:9">
      <c r="A146" t="s">
        <v>1101</v>
      </c>
      <c r="B146">
        <v>2.9068526017518299E-3</v>
      </c>
      <c r="C146" t="s">
        <v>171</v>
      </c>
      <c r="D146" t="s">
        <v>20</v>
      </c>
      <c r="E146" t="s">
        <v>38</v>
      </c>
      <c r="G146" t="s">
        <v>26</v>
      </c>
    </row>
    <row r="147" spans="1:9">
      <c r="A147" t="s">
        <v>250</v>
      </c>
      <c r="B147">
        <v>4.3792380169425642E-3</v>
      </c>
      <c r="C147" t="s">
        <v>171</v>
      </c>
      <c r="D147" t="s">
        <v>20</v>
      </c>
      <c r="E147" t="s">
        <v>38</v>
      </c>
      <c r="G147" t="s">
        <v>26</v>
      </c>
    </row>
    <row r="148" spans="1:9">
      <c r="A148" t="s">
        <v>256</v>
      </c>
      <c r="B148">
        <v>4.8421094214233877E-5</v>
      </c>
      <c r="C148" t="s">
        <v>171</v>
      </c>
      <c r="D148" t="s">
        <v>20</v>
      </c>
      <c r="E148" t="s">
        <v>38</v>
      </c>
      <c r="G148" t="s">
        <v>26</v>
      </c>
    </row>
    <row r="149" spans="1:9">
      <c r="A149" t="s">
        <v>262</v>
      </c>
      <c r="B149">
        <v>2.6190129051175209E-3</v>
      </c>
      <c r="C149" t="s">
        <v>171</v>
      </c>
      <c r="D149" t="s">
        <v>34</v>
      </c>
      <c r="E149" t="s">
        <v>38</v>
      </c>
      <c r="G149" t="s">
        <v>26</v>
      </c>
    </row>
    <row r="150" spans="1:9">
      <c r="A150" t="s">
        <v>183</v>
      </c>
      <c r="B150">
        <v>9.1264555554105024E-4</v>
      </c>
      <c r="C150" t="s">
        <v>171</v>
      </c>
      <c r="D150" t="s">
        <v>34</v>
      </c>
      <c r="E150" t="s">
        <v>38</v>
      </c>
      <c r="G150" t="s">
        <v>26</v>
      </c>
    </row>
    <row r="151" spans="1:9">
      <c r="A151" t="s">
        <v>1102</v>
      </c>
      <c r="B151">
        <v>0.15973282926682381</v>
      </c>
      <c r="C151" t="s">
        <v>171</v>
      </c>
      <c r="D151" t="s">
        <v>20</v>
      </c>
      <c r="E151" t="s">
        <v>119</v>
      </c>
      <c r="G151" t="s">
        <v>26</v>
      </c>
    </row>
    <row r="152" spans="1:9">
      <c r="A152" t="s">
        <v>1250</v>
      </c>
      <c r="B152">
        <v>3.8681824661346449E-4</v>
      </c>
      <c r="C152" t="s">
        <v>171</v>
      </c>
      <c r="D152" t="s">
        <v>34</v>
      </c>
      <c r="E152" t="s">
        <v>38</v>
      </c>
      <c r="G152" t="s">
        <v>26</v>
      </c>
    </row>
    <row r="153" spans="1:9">
      <c r="A153" s="48" t="s">
        <v>1216</v>
      </c>
      <c r="B153">
        <v>12.5</v>
      </c>
      <c r="C153" t="s">
        <v>171</v>
      </c>
      <c r="D153" s="48" t="s">
        <v>194</v>
      </c>
      <c r="E153" t="s">
        <v>8</v>
      </c>
      <c r="G153" t="s">
        <v>26</v>
      </c>
      <c r="H153" t="s">
        <v>4</v>
      </c>
      <c r="I153" t="s">
        <v>1113</v>
      </c>
    </row>
    <row r="154" spans="1:9">
      <c r="A154" t="s">
        <v>940</v>
      </c>
      <c r="B154">
        <v>7.704919509199575E-7</v>
      </c>
      <c r="C154" t="s">
        <v>171</v>
      </c>
      <c r="D154" s="49" t="s">
        <v>20</v>
      </c>
      <c r="E154" t="s">
        <v>38</v>
      </c>
      <c r="G154" t="s">
        <v>26</v>
      </c>
    </row>
    <row r="155" spans="1:9">
      <c r="A155" t="s">
        <v>573</v>
      </c>
      <c r="B155">
        <v>-1.606751268877449E-3</v>
      </c>
      <c r="C155" t="s">
        <v>171</v>
      </c>
      <c r="D155" t="s">
        <v>169</v>
      </c>
      <c r="E155" t="s">
        <v>38</v>
      </c>
      <c r="G155" t="s">
        <v>26</v>
      </c>
    </row>
    <row r="156" spans="1:9">
      <c r="A156" t="s">
        <v>573</v>
      </c>
      <c r="B156">
        <v>-4.1999507928584089E-5</v>
      </c>
      <c r="C156" t="s">
        <v>171</v>
      </c>
      <c r="D156" t="s">
        <v>155</v>
      </c>
      <c r="E156" t="s">
        <v>38</v>
      </c>
      <c r="G156" t="s">
        <v>26</v>
      </c>
    </row>
    <row r="157" spans="1:9">
      <c r="A157" t="s">
        <v>1065</v>
      </c>
      <c r="B157">
        <v>-1.212451824726442E-2</v>
      </c>
      <c r="C157" t="s">
        <v>171</v>
      </c>
      <c r="D157" t="s">
        <v>20</v>
      </c>
      <c r="E157" t="s">
        <v>38</v>
      </c>
      <c r="G157" t="s">
        <v>26</v>
      </c>
    </row>
    <row r="158" spans="1:9">
      <c r="A158" t="s">
        <v>1103</v>
      </c>
      <c r="B158">
        <v>10.51551020616313</v>
      </c>
      <c r="C158" t="s">
        <v>171</v>
      </c>
      <c r="D158" t="s">
        <v>20</v>
      </c>
      <c r="E158" t="s">
        <v>33</v>
      </c>
      <c r="G158" t="s">
        <v>26</v>
      </c>
    </row>
    <row r="159" spans="1:9">
      <c r="A159" t="s">
        <v>521</v>
      </c>
      <c r="B159">
        <v>0.15172081908494089</v>
      </c>
      <c r="C159" t="s">
        <v>171</v>
      </c>
      <c r="D159" t="s">
        <v>20</v>
      </c>
      <c r="E159" t="s">
        <v>38</v>
      </c>
      <c r="G159" t="s">
        <v>26</v>
      </c>
    </row>
    <row r="160" spans="1:9">
      <c r="A160" t="s">
        <v>524</v>
      </c>
      <c r="B160">
        <v>1.3604683066807391E-3</v>
      </c>
      <c r="C160" t="s">
        <v>171</v>
      </c>
      <c r="D160" t="s">
        <v>20</v>
      </c>
      <c r="E160" t="s">
        <v>38</v>
      </c>
      <c r="G160" t="s">
        <v>26</v>
      </c>
    </row>
    <row r="161" spans="1:7">
      <c r="A161" t="s">
        <v>1104</v>
      </c>
      <c r="B161">
        <v>-1.3731935439136591E-2</v>
      </c>
      <c r="C161" t="s">
        <v>171</v>
      </c>
      <c r="D161" s="49" t="s">
        <v>20</v>
      </c>
      <c r="E161" t="s">
        <v>38</v>
      </c>
      <c r="G161" t="s">
        <v>26</v>
      </c>
    </row>
    <row r="162" spans="1:7">
      <c r="A162" t="s">
        <v>926</v>
      </c>
      <c r="B162">
        <v>2.937355123934226E-5</v>
      </c>
      <c r="C162" t="s">
        <v>171</v>
      </c>
      <c r="D162" s="49" t="s">
        <v>194</v>
      </c>
      <c r="E162" t="s">
        <v>119</v>
      </c>
      <c r="G162" t="s">
        <v>26</v>
      </c>
    </row>
    <row r="163" spans="1:7">
      <c r="A163" t="s">
        <v>281</v>
      </c>
      <c r="B163">
        <v>5.9469541662652378E-2</v>
      </c>
      <c r="C163" t="s">
        <v>171</v>
      </c>
      <c r="D163" t="s">
        <v>20</v>
      </c>
      <c r="E163" t="s">
        <v>38</v>
      </c>
      <c r="G163" t="s">
        <v>26</v>
      </c>
    </row>
    <row r="164" spans="1:7">
      <c r="A164" t="s">
        <v>287</v>
      </c>
      <c r="B164">
        <v>4.3376408246840346E-6</v>
      </c>
      <c r="C164" t="s">
        <v>171</v>
      </c>
      <c r="D164" t="s">
        <v>20</v>
      </c>
      <c r="E164" t="s">
        <v>38</v>
      </c>
      <c r="G164" t="s">
        <v>26</v>
      </c>
    </row>
    <row r="165" spans="1:7">
      <c r="A165" t="s">
        <v>1105</v>
      </c>
      <c r="B165">
        <v>5.4926158877462484E-7</v>
      </c>
      <c r="C165" t="s">
        <v>171</v>
      </c>
      <c r="D165" t="s">
        <v>34</v>
      </c>
      <c r="E165" t="s">
        <v>38</v>
      </c>
      <c r="G165" t="s">
        <v>26</v>
      </c>
    </row>
    <row r="166" spans="1:7">
      <c r="A166" t="s">
        <v>178</v>
      </c>
      <c r="B166">
        <v>2.3889600373132151E-8</v>
      </c>
      <c r="C166" t="s">
        <v>171</v>
      </c>
      <c r="D166" t="s">
        <v>34</v>
      </c>
      <c r="E166" t="s">
        <v>38</v>
      </c>
      <c r="G166" t="s">
        <v>26</v>
      </c>
    </row>
    <row r="167" spans="1:7">
      <c r="A167" t="s">
        <v>1106</v>
      </c>
      <c r="B167">
        <v>1.5322265220077421E-4</v>
      </c>
      <c r="C167" t="s">
        <v>171</v>
      </c>
      <c r="D167" t="s">
        <v>34</v>
      </c>
      <c r="E167" t="s">
        <v>38</v>
      </c>
      <c r="G167" t="s">
        <v>26</v>
      </c>
    </row>
    <row r="168" spans="1:7">
      <c r="A168" t="s">
        <v>1107</v>
      </c>
      <c r="B168">
        <v>2.60232989982968E-2</v>
      </c>
      <c r="C168" t="s">
        <v>171</v>
      </c>
      <c r="D168" t="s">
        <v>20</v>
      </c>
      <c r="E168" t="s">
        <v>38</v>
      </c>
      <c r="G168" t="s">
        <v>26</v>
      </c>
    </row>
    <row r="169" spans="1:7">
      <c r="A169" t="s">
        <v>1270</v>
      </c>
      <c r="B169">
        <v>2.3009468132483871E-5</v>
      </c>
      <c r="C169" t="s">
        <v>171</v>
      </c>
      <c r="D169" t="s">
        <v>34</v>
      </c>
      <c r="E169" t="s">
        <v>38</v>
      </c>
      <c r="G169" t="s">
        <v>26</v>
      </c>
    </row>
    <row r="170" spans="1:7">
      <c r="A170" t="s">
        <v>647</v>
      </c>
      <c r="B170">
        <v>3.8199938325727503E-2</v>
      </c>
      <c r="C170" t="s">
        <v>171</v>
      </c>
      <c r="D170" t="s">
        <v>34</v>
      </c>
      <c r="E170" t="s">
        <v>38</v>
      </c>
      <c r="G170" t="s">
        <v>26</v>
      </c>
    </row>
    <row r="171" spans="1:7">
      <c r="A171" t="s">
        <v>1108</v>
      </c>
      <c r="B171">
        <v>8.5652636490065035</v>
      </c>
      <c r="C171" t="s">
        <v>171</v>
      </c>
      <c r="D171" t="s">
        <v>34</v>
      </c>
      <c r="E171" t="s">
        <v>38</v>
      </c>
      <c r="G171" t="s">
        <v>26</v>
      </c>
    </row>
    <row r="172" spans="1:7">
      <c r="A172" t="s">
        <v>1109</v>
      </c>
      <c r="B172">
        <v>7.4958453399451242E-3</v>
      </c>
      <c r="C172" t="s">
        <v>171</v>
      </c>
      <c r="D172" t="s">
        <v>34</v>
      </c>
      <c r="E172" t="s">
        <v>38</v>
      </c>
      <c r="G172" t="s">
        <v>26</v>
      </c>
    </row>
    <row r="173" spans="1:7">
      <c r="A173" t="s">
        <v>1110</v>
      </c>
      <c r="B173">
        <v>2.4785186775245669E-4</v>
      </c>
      <c r="C173" t="s">
        <v>171</v>
      </c>
      <c r="D173" t="s">
        <v>34</v>
      </c>
      <c r="E173" t="s">
        <v>38</v>
      </c>
      <c r="G173" t="s">
        <v>26</v>
      </c>
    </row>
    <row r="174" spans="1:7">
      <c r="A174" t="s">
        <v>1111</v>
      </c>
      <c r="B174">
        <v>2.0383997424480329E-3</v>
      </c>
      <c r="C174" t="s">
        <v>171</v>
      </c>
      <c r="D174" t="s">
        <v>20</v>
      </c>
      <c r="E174" t="s">
        <v>38</v>
      </c>
      <c r="G174" t="s">
        <v>26</v>
      </c>
    </row>
    <row r="175" spans="1:7">
      <c r="A175" t="s">
        <v>176</v>
      </c>
      <c r="B175">
        <v>7.5236805047545693E-2</v>
      </c>
      <c r="C175" t="s">
        <v>171</v>
      </c>
      <c r="D175" t="s">
        <v>20</v>
      </c>
      <c r="E175" t="s">
        <v>38</v>
      </c>
      <c r="G175" t="s">
        <v>26</v>
      </c>
    </row>
    <row r="176" spans="1:7">
      <c r="A176" t="s">
        <v>1112</v>
      </c>
      <c r="B176">
        <v>2.3865710772759039E-5</v>
      </c>
      <c r="C176" t="s">
        <v>171</v>
      </c>
      <c r="D176" t="s">
        <v>20</v>
      </c>
      <c r="E176" t="s">
        <v>38</v>
      </c>
      <c r="G176" t="s">
        <v>26</v>
      </c>
    </row>
    <row r="177" spans="1:7">
      <c r="A177" t="s">
        <v>1069</v>
      </c>
      <c r="B177">
        <v>-1.1717654813741421E-2</v>
      </c>
      <c r="C177" t="s">
        <v>171</v>
      </c>
      <c r="D177" t="s">
        <v>169</v>
      </c>
      <c r="E177" t="s">
        <v>119</v>
      </c>
      <c r="G177" t="s">
        <v>26</v>
      </c>
    </row>
    <row r="178" spans="1:7">
      <c r="A178" t="s">
        <v>1069</v>
      </c>
      <c r="B178">
        <v>-2.9448200870839581E-4</v>
      </c>
      <c r="C178" t="s">
        <v>171</v>
      </c>
      <c r="D178" t="s">
        <v>155</v>
      </c>
      <c r="E178" t="s">
        <v>119</v>
      </c>
      <c r="G178" t="s">
        <v>26</v>
      </c>
    </row>
    <row r="179" spans="1:7">
      <c r="A179" t="s">
        <v>173</v>
      </c>
      <c r="B179">
        <v>3.0648187555847771E-2</v>
      </c>
      <c r="C179" t="s">
        <v>171</v>
      </c>
      <c r="D179" t="s">
        <v>155</v>
      </c>
      <c r="E179" t="s">
        <v>38</v>
      </c>
      <c r="G179" t="s">
        <v>26</v>
      </c>
    </row>
    <row r="180" spans="1:7">
      <c r="A180" t="s">
        <v>173</v>
      </c>
      <c r="B180">
        <v>8.5139682685873055</v>
      </c>
      <c r="C180" t="s">
        <v>171</v>
      </c>
      <c r="D180" t="s">
        <v>169</v>
      </c>
      <c r="E180" t="s">
        <v>38</v>
      </c>
      <c r="G180" t="s">
        <v>26</v>
      </c>
    </row>
    <row r="181" spans="1:7">
      <c r="A181" s="49" t="s">
        <v>926</v>
      </c>
      <c r="B181">
        <v>4.21277423444265E-3</v>
      </c>
      <c r="C181" t="s">
        <v>171</v>
      </c>
      <c r="D181" s="49" t="s">
        <v>194</v>
      </c>
      <c r="E181" t="s">
        <v>119</v>
      </c>
      <c r="G181" t="s">
        <v>26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CBF2D-0FD4-4745-9B80-ABD519CE8E7D}">
  <dimension ref="A1:P442"/>
  <sheetViews>
    <sheetView topLeftCell="A17" workbookViewId="0">
      <selection activeCell="B8" sqref="B8"/>
    </sheetView>
  </sheetViews>
  <sheetFormatPr defaultColWidth="10.58203125" defaultRowHeight="15.5"/>
  <cols>
    <col min="1" max="1" width="63" customWidth="1"/>
    <col min="2" max="2" width="12.08203125" bestFit="1" customWidth="1"/>
    <col min="3" max="3" width="34.33203125" customWidth="1"/>
    <col min="6" max="6" width="11.5" bestFit="1" customWidth="1"/>
    <col min="7" max="7" width="28.08203125" bestFit="1" customWidth="1"/>
    <col min="8" max="8" width="23.58203125" bestFit="1" customWidth="1"/>
  </cols>
  <sheetData>
    <row r="1" spans="1:15">
      <c r="A1" s="1" t="s">
        <v>0</v>
      </c>
      <c r="B1" s="1" t="s">
        <v>634</v>
      </c>
      <c r="M1" t="s">
        <v>12</v>
      </c>
    </row>
    <row r="2" spans="1:15">
      <c r="A2" t="s">
        <v>1</v>
      </c>
      <c r="B2" t="s">
        <v>20</v>
      </c>
      <c r="M2" t="s">
        <v>12</v>
      </c>
    </row>
    <row r="3" spans="1:15">
      <c r="A3" t="s">
        <v>2</v>
      </c>
      <c r="B3">
        <v>1</v>
      </c>
      <c r="M3" t="s">
        <v>12</v>
      </c>
    </row>
    <row r="4" spans="1:15">
      <c r="A4" t="s">
        <v>13</v>
      </c>
      <c r="B4" t="s">
        <v>635</v>
      </c>
    </row>
    <row r="5" spans="1:15">
      <c r="A5" t="s">
        <v>11</v>
      </c>
      <c r="B5" t="s">
        <v>636</v>
      </c>
    </row>
    <row r="6" spans="1:15">
      <c r="A6" t="s">
        <v>3</v>
      </c>
      <c r="B6" t="s">
        <v>637</v>
      </c>
      <c r="M6" t="s">
        <v>12</v>
      </c>
    </row>
    <row r="7" spans="1:15">
      <c r="A7" t="s">
        <v>5</v>
      </c>
      <c r="B7" t="s">
        <v>6</v>
      </c>
      <c r="M7" t="s">
        <v>12</v>
      </c>
    </row>
    <row r="8" spans="1:15">
      <c r="A8" t="s">
        <v>7</v>
      </c>
      <c r="B8" t="s">
        <v>38</v>
      </c>
      <c r="M8" t="s">
        <v>12</v>
      </c>
    </row>
    <row r="9" spans="1:15">
      <c r="A9" s="1" t="s">
        <v>14</v>
      </c>
      <c r="M9" t="s">
        <v>12</v>
      </c>
    </row>
    <row r="10" spans="1:15">
      <c r="A10" s="1" t="s">
        <v>15</v>
      </c>
      <c r="B10" s="1" t="s">
        <v>16</v>
      </c>
      <c r="C10" s="1" t="s">
        <v>1</v>
      </c>
      <c r="D10" s="1" t="s">
        <v>7</v>
      </c>
      <c r="E10" s="1" t="s">
        <v>18</v>
      </c>
      <c r="F10" s="1" t="s">
        <v>5</v>
      </c>
      <c r="G10" s="1" t="s">
        <v>3</v>
      </c>
      <c r="H10" s="1" t="s">
        <v>13</v>
      </c>
    </row>
    <row r="11" spans="1:15">
      <c r="A11" t="s">
        <v>634</v>
      </c>
      <c r="B11">
        <v>1</v>
      </c>
      <c r="C11" t="s">
        <v>20</v>
      </c>
      <c r="D11" s="29" t="s">
        <v>38</v>
      </c>
      <c r="F11" t="s">
        <v>24</v>
      </c>
      <c r="G11" t="s">
        <v>637</v>
      </c>
    </row>
    <row r="12" spans="1:15">
      <c r="A12" s="29" t="s">
        <v>57</v>
      </c>
      <c r="B12" s="30">
        <v>1</v>
      </c>
      <c r="C12" t="s">
        <v>34</v>
      </c>
      <c r="D12" s="29" t="s">
        <v>38</v>
      </c>
      <c r="F12" s="29" t="s">
        <v>26</v>
      </c>
      <c r="G12" s="29" t="s">
        <v>58</v>
      </c>
      <c r="H12" s="29" t="s">
        <v>638</v>
      </c>
      <c r="I12" s="28"/>
      <c r="J12" s="28"/>
      <c r="K12" s="28"/>
      <c r="L12" s="28"/>
      <c r="M12" s="28"/>
      <c r="N12" s="28"/>
      <c r="O12" s="28"/>
    </row>
    <row r="13" spans="1:15">
      <c r="A13" s="29" t="s">
        <v>639</v>
      </c>
      <c r="B13" s="30">
        <v>0.5</v>
      </c>
      <c r="C13" t="s">
        <v>20</v>
      </c>
      <c r="D13" s="29" t="s">
        <v>38</v>
      </c>
      <c r="F13" s="29" t="s">
        <v>26</v>
      </c>
      <c r="G13" s="29" t="s">
        <v>640</v>
      </c>
      <c r="H13" s="29" t="s">
        <v>641</v>
      </c>
      <c r="I13" s="31"/>
      <c r="M13" s="29"/>
      <c r="N13" s="29"/>
      <c r="O13" s="29"/>
    </row>
    <row r="14" spans="1:15">
      <c r="A14" s="29" t="s">
        <v>642</v>
      </c>
      <c r="B14" s="30">
        <v>3.2</v>
      </c>
      <c r="C14" t="s">
        <v>34</v>
      </c>
      <c r="D14" s="29" t="s">
        <v>38</v>
      </c>
      <c r="F14" s="29" t="s">
        <v>26</v>
      </c>
      <c r="G14" s="29" t="s">
        <v>643</v>
      </c>
      <c r="H14" s="29" t="s">
        <v>644</v>
      </c>
      <c r="M14" s="29"/>
      <c r="N14" s="29"/>
    </row>
    <row r="15" spans="1:15">
      <c r="A15" s="29" t="s">
        <v>295</v>
      </c>
      <c r="B15" s="30">
        <v>3</v>
      </c>
      <c r="C15" t="s">
        <v>20</v>
      </c>
      <c r="D15" s="29" t="s">
        <v>38</v>
      </c>
      <c r="F15" s="29" t="s">
        <v>26</v>
      </c>
      <c r="G15" s="29" t="s">
        <v>296</v>
      </c>
      <c r="H15" s="29" t="s">
        <v>645</v>
      </c>
      <c r="M15" s="29"/>
      <c r="N15" s="29"/>
    </row>
    <row r="16" spans="1:15">
      <c r="A16" s="29" t="s">
        <v>543</v>
      </c>
      <c r="B16" s="30">
        <v>0.6</v>
      </c>
      <c r="C16" t="s">
        <v>20</v>
      </c>
      <c r="D16" s="29" t="s">
        <v>38</v>
      </c>
      <c r="F16" s="29" t="s">
        <v>26</v>
      </c>
      <c r="G16" s="29" t="s">
        <v>544</v>
      </c>
      <c r="H16" s="29" t="s">
        <v>646</v>
      </c>
      <c r="M16" s="29"/>
      <c r="N16" s="29"/>
    </row>
    <row r="17" spans="1:15">
      <c r="A17" s="29" t="s">
        <v>647</v>
      </c>
      <c r="B17" s="30">
        <v>0.11</v>
      </c>
      <c r="C17" t="s">
        <v>34</v>
      </c>
      <c r="D17" s="29" t="s">
        <v>38</v>
      </c>
      <c r="F17" s="29" t="s">
        <v>26</v>
      </c>
      <c r="G17" s="29" t="s">
        <v>648</v>
      </c>
      <c r="H17" s="29" t="s">
        <v>649</v>
      </c>
      <c r="M17" s="29"/>
      <c r="N17" s="29"/>
    </row>
    <row r="18" spans="1:15">
      <c r="A18" s="29" t="s">
        <v>616</v>
      </c>
      <c r="B18" s="30">
        <v>4.0000000000000001E-10</v>
      </c>
      <c r="C18" t="s">
        <v>20</v>
      </c>
      <c r="D18" s="29" t="s">
        <v>7</v>
      </c>
      <c r="F18" s="29" t="s">
        <v>26</v>
      </c>
      <c r="G18" s="29" t="s">
        <v>617</v>
      </c>
      <c r="H18" s="29" t="s">
        <v>650</v>
      </c>
      <c r="M18" s="29"/>
      <c r="N18" s="29"/>
    </row>
    <row r="19" spans="1:15">
      <c r="A19" s="29" t="s">
        <v>651</v>
      </c>
      <c r="B19" s="30">
        <v>39.31</v>
      </c>
      <c r="C19" t="s">
        <v>169</v>
      </c>
      <c r="D19" s="29" t="s">
        <v>33</v>
      </c>
      <c r="F19" s="29" t="s">
        <v>26</v>
      </c>
      <c r="G19" s="29" t="s">
        <v>493</v>
      </c>
      <c r="H19" s="29" t="s">
        <v>652</v>
      </c>
      <c r="M19" s="29"/>
      <c r="N19" s="29"/>
    </row>
    <row r="20" spans="1:15">
      <c r="A20" s="60" t="s">
        <v>300</v>
      </c>
      <c r="B20" s="29">
        <v>0.87</v>
      </c>
      <c r="C20" t="s">
        <v>20</v>
      </c>
      <c r="D20" s="29" t="s">
        <v>35</v>
      </c>
      <c r="F20" s="29" t="s">
        <v>26</v>
      </c>
      <c r="G20" s="60" t="s">
        <v>1260</v>
      </c>
      <c r="K20" s="29"/>
      <c r="L20" s="29"/>
      <c r="M20" s="29"/>
      <c r="N20" s="29"/>
      <c r="O20" s="29"/>
    </row>
    <row r="21" spans="1:15">
      <c r="A21" s="29" t="s">
        <v>1253</v>
      </c>
      <c r="B21" s="29">
        <v>5.22</v>
      </c>
      <c r="C21" t="s">
        <v>169</v>
      </c>
      <c r="D21" s="29" t="s">
        <v>35</v>
      </c>
      <c r="F21" s="29" t="s">
        <v>26</v>
      </c>
      <c r="G21" s="29" t="s">
        <v>1254</v>
      </c>
      <c r="K21" s="29"/>
      <c r="L21" s="29"/>
      <c r="M21" s="29"/>
      <c r="N21" s="29"/>
    </row>
    <row r="22" spans="1:15">
      <c r="A22" s="29" t="s">
        <v>653</v>
      </c>
      <c r="B22" s="29">
        <v>2.36</v>
      </c>
      <c r="D22" s="29" t="s">
        <v>38</v>
      </c>
      <c r="E22" t="s">
        <v>596</v>
      </c>
      <c r="F22" s="29" t="s">
        <v>126</v>
      </c>
      <c r="H22" s="29" t="s">
        <v>654</v>
      </c>
      <c r="I22" s="28"/>
      <c r="J22" s="29"/>
      <c r="K22" s="31"/>
      <c r="O22" s="29"/>
    </row>
    <row r="23" spans="1:15">
      <c r="A23" s="29" t="s">
        <v>655</v>
      </c>
      <c r="B23" s="29">
        <v>1.87</v>
      </c>
      <c r="D23" s="29" t="s">
        <v>38</v>
      </c>
      <c r="E23" t="s">
        <v>127</v>
      </c>
      <c r="F23" s="29" t="s">
        <v>126</v>
      </c>
      <c r="H23" s="29" t="s">
        <v>656</v>
      </c>
      <c r="I23" s="29"/>
      <c r="J23" s="29"/>
      <c r="K23" s="29"/>
      <c r="L23" s="29"/>
      <c r="M23" s="29"/>
      <c r="N23" s="29"/>
    </row>
    <row r="24" spans="1:15">
      <c r="A24" s="29" t="s">
        <v>621</v>
      </c>
      <c r="B24" s="32">
        <v>8.8800000000000004E-2</v>
      </c>
      <c r="D24" s="29" t="s">
        <v>38</v>
      </c>
      <c r="E24" t="s">
        <v>127</v>
      </c>
      <c r="F24" s="29" t="s">
        <v>126</v>
      </c>
      <c r="H24" s="29" t="s">
        <v>657</v>
      </c>
      <c r="I24" s="29"/>
      <c r="J24" s="29"/>
      <c r="K24" s="29"/>
      <c r="L24" s="29"/>
      <c r="M24" s="29"/>
      <c r="N24" s="29"/>
    </row>
    <row r="25" spans="1:15">
      <c r="A25" s="29" t="s">
        <v>658</v>
      </c>
      <c r="B25" s="29">
        <v>-2.81</v>
      </c>
      <c r="C25" t="s">
        <v>169</v>
      </c>
      <c r="D25" s="29" t="s">
        <v>38</v>
      </c>
      <c r="F25" s="29" t="s">
        <v>26</v>
      </c>
      <c r="G25" s="29" t="s">
        <v>659</v>
      </c>
      <c r="H25" s="29" t="s">
        <v>660</v>
      </c>
      <c r="I25" s="29"/>
      <c r="J25" s="29"/>
      <c r="K25" s="29"/>
      <c r="L25" s="29"/>
      <c r="M25" s="29"/>
      <c r="N25" s="29"/>
    </row>
    <row r="26" spans="1:15">
      <c r="A26" s="29" t="s">
        <v>619</v>
      </c>
      <c r="B26" s="29">
        <v>-0.11</v>
      </c>
      <c r="C26" t="s">
        <v>1267</v>
      </c>
      <c r="D26" s="29" t="s">
        <v>38</v>
      </c>
      <c r="F26" s="29" t="s">
        <v>26</v>
      </c>
      <c r="G26" s="29" t="s">
        <v>620</v>
      </c>
      <c r="H26" s="29" t="s">
        <v>661</v>
      </c>
      <c r="I26" s="29"/>
      <c r="J26" s="29"/>
      <c r="K26" s="29"/>
      <c r="L26" s="29"/>
      <c r="M26" s="29"/>
      <c r="N26" s="29"/>
    </row>
    <row r="27" spans="1:15">
      <c r="A27" s="29" t="s">
        <v>662</v>
      </c>
      <c r="B27" s="29">
        <v>-0.38</v>
      </c>
      <c r="C27" t="s">
        <v>169</v>
      </c>
      <c r="D27" s="29" t="s">
        <v>38</v>
      </c>
      <c r="F27" s="29" t="s">
        <v>26</v>
      </c>
      <c r="G27" s="29" t="s">
        <v>663</v>
      </c>
      <c r="H27" s="29" t="s">
        <v>664</v>
      </c>
      <c r="I27" s="28"/>
      <c r="J27" s="28"/>
      <c r="K27" s="29"/>
      <c r="L27" s="29"/>
      <c r="M27" s="29"/>
      <c r="N27" s="29"/>
    </row>
    <row r="28" spans="1:15">
      <c r="K28" s="29"/>
      <c r="L28" s="29"/>
      <c r="M28" s="29"/>
      <c r="N28" s="29"/>
    </row>
    <row r="29" spans="1:15">
      <c r="A29" s="1" t="s">
        <v>0</v>
      </c>
      <c r="B29" s="1" t="s">
        <v>665</v>
      </c>
      <c r="M29" t="s">
        <v>12</v>
      </c>
    </row>
    <row r="30" spans="1:15">
      <c r="A30" t="s">
        <v>1</v>
      </c>
      <c r="B30" t="s">
        <v>20</v>
      </c>
      <c r="M30" t="s">
        <v>12</v>
      </c>
    </row>
    <row r="31" spans="1:15">
      <c r="A31" t="s">
        <v>2</v>
      </c>
      <c r="B31">
        <v>1</v>
      </c>
      <c r="M31" t="s">
        <v>12</v>
      </c>
    </row>
    <row r="32" spans="1:15">
      <c r="A32" t="s">
        <v>13</v>
      </c>
      <c r="B32" t="s">
        <v>666</v>
      </c>
    </row>
    <row r="33" spans="1:13">
      <c r="A33" t="s">
        <v>11</v>
      </c>
      <c r="B33" t="s">
        <v>636</v>
      </c>
    </row>
    <row r="34" spans="1:13">
      <c r="A34" t="s">
        <v>3</v>
      </c>
      <c r="B34" t="s">
        <v>667</v>
      </c>
      <c r="M34" t="s">
        <v>12</v>
      </c>
    </row>
    <row r="35" spans="1:13">
      <c r="A35" t="s">
        <v>5</v>
      </c>
      <c r="B35" t="s">
        <v>6</v>
      </c>
      <c r="M35" t="s">
        <v>12</v>
      </c>
    </row>
    <row r="36" spans="1:13">
      <c r="A36" t="s">
        <v>7</v>
      </c>
      <c r="B36" t="s">
        <v>38</v>
      </c>
      <c r="M36" t="s">
        <v>12</v>
      </c>
    </row>
    <row r="37" spans="1:13">
      <c r="A37" s="1" t="s">
        <v>14</v>
      </c>
      <c r="M37" t="s">
        <v>12</v>
      </c>
    </row>
    <row r="38" spans="1:13">
      <c r="A38" s="1" t="s">
        <v>15</v>
      </c>
      <c r="B38" s="1" t="s">
        <v>16</v>
      </c>
      <c r="C38" s="1" t="s">
        <v>1</v>
      </c>
      <c r="D38" s="1" t="s">
        <v>7</v>
      </c>
      <c r="E38" s="1" t="s">
        <v>18</v>
      </c>
      <c r="F38" s="1" t="s">
        <v>5</v>
      </c>
      <c r="G38" s="1" t="s">
        <v>3</v>
      </c>
      <c r="H38" s="1" t="s">
        <v>13</v>
      </c>
    </row>
    <row r="39" spans="1:13">
      <c r="A39" t="str">
        <f>B29</f>
        <v>polyacrylonitrile-based electrode production, for VRFB system</v>
      </c>
      <c r="B39">
        <v>1</v>
      </c>
      <c r="C39" t="s">
        <v>20</v>
      </c>
      <c r="D39" t="s">
        <v>38</v>
      </c>
      <c r="F39" t="s">
        <v>24</v>
      </c>
      <c r="G39" t="str">
        <f>B34</f>
        <v>polyacrylonitrile-based electrode, for VFRB system</v>
      </c>
      <c r="I39" s="31"/>
    </row>
    <row r="40" spans="1:13">
      <c r="A40" s="29" t="s">
        <v>668</v>
      </c>
      <c r="B40" s="29">
        <v>2</v>
      </c>
      <c r="C40" t="s">
        <v>20</v>
      </c>
      <c r="D40" t="s">
        <v>38</v>
      </c>
      <c r="F40" t="s">
        <v>26</v>
      </c>
      <c r="G40" t="s">
        <v>669</v>
      </c>
      <c r="H40" s="29" t="s">
        <v>670</v>
      </c>
      <c r="I40" s="29"/>
      <c r="J40" s="29"/>
      <c r="K40" s="29"/>
      <c r="L40" s="29"/>
    </row>
    <row r="41" spans="1:13">
      <c r="A41" s="29" t="s">
        <v>651</v>
      </c>
      <c r="B41" s="29">
        <v>0.87</v>
      </c>
      <c r="C41" t="s">
        <v>169</v>
      </c>
      <c r="D41" t="s">
        <v>33</v>
      </c>
      <c r="F41" t="s">
        <v>26</v>
      </c>
      <c r="G41" s="29" t="s">
        <v>493</v>
      </c>
      <c r="H41" s="29" t="s">
        <v>671</v>
      </c>
      <c r="I41" s="29"/>
      <c r="J41" s="29"/>
      <c r="K41" s="29"/>
      <c r="L41" s="29"/>
    </row>
    <row r="42" spans="1:13">
      <c r="A42" s="29" t="s">
        <v>651</v>
      </c>
      <c r="B42" s="29">
        <v>5.25</v>
      </c>
      <c r="C42" t="s">
        <v>169</v>
      </c>
      <c r="D42" t="s">
        <v>33</v>
      </c>
      <c r="F42" t="s">
        <v>26</v>
      </c>
      <c r="G42" s="29" t="s">
        <v>493</v>
      </c>
      <c r="H42" s="29" t="s">
        <v>672</v>
      </c>
      <c r="I42" s="29"/>
      <c r="J42" s="29"/>
      <c r="K42" s="29"/>
      <c r="L42" s="29"/>
    </row>
    <row r="43" spans="1:13">
      <c r="A43" s="29" t="s">
        <v>673</v>
      </c>
      <c r="B43" s="32">
        <v>7.9600000000000004E-2</v>
      </c>
      <c r="C43" t="s">
        <v>34</v>
      </c>
      <c r="D43" t="s">
        <v>33</v>
      </c>
      <c r="F43" t="s">
        <v>26</v>
      </c>
      <c r="G43" s="29" t="s">
        <v>674</v>
      </c>
      <c r="H43" s="29" t="s">
        <v>675</v>
      </c>
      <c r="I43" s="29"/>
      <c r="J43" s="29"/>
      <c r="K43" s="29"/>
      <c r="L43" s="29"/>
    </row>
    <row r="44" spans="1:13">
      <c r="A44" s="29" t="s">
        <v>621</v>
      </c>
      <c r="B44" s="29">
        <v>1.31</v>
      </c>
      <c r="D44" t="s">
        <v>38</v>
      </c>
      <c r="E44" t="s">
        <v>127</v>
      </c>
      <c r="F44" t="s">
        <v>126</v>
      </c>
      <c r="H44" s="29" t="s">
        <v>657</v>
      </c>
      <c r="I44" s="31"/>
    </row>
    <row r="45" spans="1:13">
      <c r="A45" s="29" t="s">
        <v>423</v>
      </c>
      <c r="B45" s="29">
        <v>0.67</v>
      </c>
      <c r="D45" t="s">
        <v>38</v>
      </c>
      <c r="E45" t="s">
        <v>127</v>
      </c>
      <c r="F45" t="s">
        <v>126</v>
      </c>
      <c r="H45" s="29" t="s">
        <v>676</v>
      </c>
      <c r="I45" s="29"/>
      <c r="J45" s="29"/>
      <c r="K45" s="29"/>
      <c r="L45" s="29"/>
    </row>
    <row r="46" spans="1:13">
      <c r="A46" s="29" t="s">
        <v>595</v>
      </c>
      <c r="B46" s="29">
        <f>0.66/1000</f>
        <v>6.6E-4</v>
      </c>
      <c r="D46" t="s">
        <v>119</v>
      </c>
      <c r="E46" t="s">
        <v>127</v>
      </c>
      <c r="F46" t="s">
        <v>126</v>
      </c>
      <c r="H46" s="29" t="s">
        <v>677</v>
      </c>
      <c r="I46" s="29"/>
      <c r="J46" s="29"/>
      <c r="K46" s="29"/>
      <c r="L46" s="29"/>
    </row>
    <row r="47" spans="1:13">
      <c r="I47" s="29"/>
      <c r="J47" s="29"/>
      <c r="K47" s="29"/>
      <c r="L47" s="29"/>
    </row>
    <row r="48" spans="1:13">
      <c r="A48" s="1" t="s">
        <v>0</v>
      </c>
      <c r="B48" s="1" t="s">
        <v>678</v>
      </c>
      <c r="M48" t="s">
        <v>12</v>
      </c>
    </row>
    <row r="49" spans="1:13">
      <c r="A49" t="s">
        <v>1</v>
      </c>
      <c r="B49" t="s">
        <v>20</v>
      </c>
      <c r="M49" t="s">
        <v>12</v>
      </c>
    </row>
    <row r="50" spans="1:13">
      <c r="A50" t="s">
        <v>2</v>
      </c>
      <c r="B50">
        <v>1</v>
      </c>
      <c r="M50" t="s">
        <v>12</v>
      </c>
    </row>
    <row r="51" spans="1:13">
      <c r="A51" t="s">
        <v>13</v>
      </c>
      <c r="B51" t="s">
        <v>679</v>
      </c>
    </row>
    <row r="52" spans="1:13">
      <c r="A52" t="s">
        <v>11</v>
      </c>
      <c r="B52" t="s">
        <v>636</v>
      </c>
    </row>
    <row r="53" spans="1:13">
      <c r="A53" t="s">
        <v>3</v>
      </c>
      <c r="B53" t="s">
        <v>680</v>
      </c>
      <c r="M53" t="s">
        <v>12</v>
      </c>
    </row>
    <row r="54" spans="1:13">
      <c r="A54" t="s">
        <v>5</v>
      </c>
      <c r="B54" t="s">
        <v>6</v>
      </c>
      <c r="M54" t="s">
        <v>12</v>
      </c>
    </row>
    <row r="55" spans="1:13">
      <c r="A55" t="s">
        <v>7</v>
      </c>
      <c r="B55" t="s">
        <v>38</v>
      </c>
      <c r="M55" t="s">
        <v>12</v>
      </c>
    </row>
    <row r="56" spans="1:13">
      <c r="A56" s="1" t="s">
        <v>14</v>
      </c>
      <c r="M56" t="s">
        <v>12</v>
      </c>
    </row>
    <row r="57" spans="1:13">
      <c r="A57" s="1" t="s">
        <v>15</v>
      </c>
      <c r="B57" s="1" t="s">
        <v>16</v>
      </c>
      <c r="C57" s="1" t="s">
        <v>1</v>
      </c>
      <c r="D57" s="1" t="s">
        <v>7</v>
      </c>
      <c r="E57" s="1" t="s">
        <v>18</v>
      </c>
      <c r="F57" s="1" t="s">
        <v>5</v>
      </c>
      <c r="G57" s="1" t="s">
        <v>3</v>
      </c>
      <c r="H57" s="1" t="s">
        <v>13</v>
      </c>
    </row>
    <row r="58" spans="1:13">
      <c r="A58" t="str">
        <f>B48</f>
        <v>biopolar plate production, for VRFB system</v>
      </c>
      <c r="B58">
        <v>1</v>
      </c>
      <c r="C58" t="s">
        <v>20</v>
      </c>
      <c r="D58" t="s">
        <v>38</v>
      </c>
      <c r="F58" t="s">
        <v>24</v>
      </c>
      <c r="G58" t="str">
        <f>B53</f>
        <v>biopolar plate, for VRFB system</v>
      </c>
      <c r="I58" s="31"/>
    </row>
    <row r="59" spans="1:13">
      <c r="A59" s="60" t="s">
        <v>1268</v>
      </c>
      <c r="B59" s="29">
        <v>0.88</v>
      </c>
      <c r="C59" t="s">
        <v>51</v>
      </c>
      <c r="D59" t="s">
        <v>38</v>
      </c>
      <c r="F59" s="29" t="s">
        <v>26</v>
      </c>
      <c r="G59" s="60" t="s">
        <v>1269</v>
      </c>
      <c r="H59" s="29" t="s">
        <v>681</v>
      </c>
      <c r="I59" s="29"/>
      <c r="J59" s="29"/>
      <c r="K59" s="29"/>
      <c r="L59" s="29"/>
    </row>
    <row r="60" spans="1:13">
      <c r="A60" s="29" t="s">
        <v>80</v>
      </c>
      <c r="B60" s="29">
        <v>0.14000000000000001</v>
      </c>
      <c r="C60" t="s">
        <v>34</v>
      </c>
      <c r="D60" t="s">
        <v>38</v>
      </c>
      <c r="F60" s="29" t="s">
        <v>26</v>
      </c>
      <c r="G60" s="60" t="s">
        <v>81</v>
      </c>
      <c r="H60" s="29" t="s">
        <v>682</v>
      </c>
      <c r="I60" s="29"/>
      <c r="J60" s="29"/>
      <c r="K60" s="29"/>
      <c r="L60" s="29"/>
    </row>
    <row r="61" spans="1:13">
      <c r="A61" s="29" t="s">
        <v>275</v>
      </c>
      <c r="B61" s="32">
        <v>2.2000000000000001E-4</v>
      </c>
      <c r="C61" t="s">
        <v>20</v>
      </c>
      <c r="D61" t="s">
        <v>38</v>
      </c>
      <c r="F61" s="29" t="s">
        <v>26</v>
      </c>
      <c r="G61" s="29" t="s">
        <v>276</v>
      </c>
      <c r="H61" s="29" t="s">
        <v>683</v>
      </c>
      <c r="I61" s="29"/>
      <c r="J61" s="29"/>
      <c r="K61" s="29"/>
      <c r="L61" s="29"/>
    </row>
    <row r="62" spans="1:13">
      <c r="A62" s="29" t="s">
        <v>684</v>
      </c>
      <c r="B62" s="32">
        <v>2.7999999999999998E-9</v>
      </c>
      <c r="C62" t="s">
        <v>34</v>
      </c>
      <c r="D62" s="29" t="s">
        <v>7</v>
      </c>
      <c r="F62" s="29" t="s">
        <v>26</v>
      </c>
      <c r="G62" s="29" t="s">
        <v>685</v>
      </c>
      <c r="H62" s="29" t="s">
        <v>650</v>
      </c>
      <c r="I62" s="29"/>
      <c r="J62" s="29"/>
      <c r="K62" s="29"/>
      <c r="L62" s="29"/>
    </row>
    <row r="63" spans="1:13">
      <c r="A63" s="29" t="s">
        <v>686</v>
      </c>
      <c r="B63" s="32">
        <v>4.3000000000000002E-5</v>
      </c>
      <c r="C63" t="s">
        <v>20</v>
      </c>
      <c r="D63" s="29" t="s">
        <v>119</v>
      </c>
      <c r="F63" s="29" t="s">
        <v>26</v>
      </c>
      <c r="G63" s="29" t="s">
        <v>687</v>
      </c>
      <c r="H63" s="29" t="s">
        <v>688</v>
      </c>
      <c r="I63" s="29"/>
      <c r="J63" s="29"/>
      <c r="K63" s="29"/>
      <c r="L63" s="29"/>
    </row>
    <row r="64" spans="1:13">
      <c r="A64" s="29" t="s">
        <v>689</v>
      </c>
      <c r="B64" s="32">
        <v>1.46E-2</v>
      </c>
      <c r="C64" t="s">
        <v>34</v>
      </c>
      <c r="D64" t="s">
        <v>38</v>
      </c>
      <c r="F64" s="29" t="s">
        <v>26</v>
      </c>
      <c r="G64" s="29" t="s">
        <v>690</v>
      </c>
      <c r="H64" s="29" t="s">
        <v>691</v>
      </c>
      <c r="I64" s="29"/>
      <c r="J64" s="29"/>
      <c r="K64" s="29"/>
      <c r="L64" s="29"/>
    </row>
    <row r="65" spans="1:13">
      <c r="A65" s="29" t="s">
        <v>692</v>
      </c>
      <c r="B65" s="32">
        <v>2.8800000000000002E-3</v>
      </c>
      <c r="C65" t="s">
        <v>20</v>
      </c>
      <c r="D65" s="29" t="s">
        <v>7</v>
      </c>
      <c r="F65" s="29" t="s">
        <v>26</v>
      </c>
      <c r="G65" s="29" t="s">
        <v>631</v>
      </c>
      <c r="H65" s="29" t="s">
        <v>693</v>
      </c>
      <c r="I65" s="29"/>
      <c r="J65" s="29"/>
      <c r="K65" s="29"/>
      <c r="L65" s="29"/>
    </row>
    <row r="66" spans="1:13">
      <c r="A66" s="29" t="s">
        <v>694</v>
      </c>
      <c r="B66" s="32">
        <v>1.9599999999999999E-3</v>
      </c>
      <c r="C66" t="s">
        <v>20</v>
      </c>
      <c r="D66" t="s">
        <v>38</v>
      </c>
      <c r="F66" s="29" t="s">
        <v>26</v>
      </c>
      <c r="G66" s="29" t="s">
        <v>695</v>
      </c>
      <c r="H66" s="29" t="s">
        <v>696</v>
      </c>
      <c r="I66" s="29"/>
      <c r="J66" s="29"/>
      <c r="K66" s="29"/>
      <c r="L66" s="29"/>
    </row>
    <row r="67" spans="1:13">
      <c r="A67" s="29" t="s">
        <v>173</v>
      </c>
      <c r="B67" s="32">
        <v>8.7400000000000005E-2</v>
      </c>
      <c r="C67" t="s">
        <v>169</v>
      </c>
      <c r="D67" t="s">
        <v>38</v>
      </c>
      <c r="F67" s="29" t="s">
        <v>26</v>
      </c>
      <c r="G67" s="29" t="s">
        <v>174</v>
      </c>
      <c r="H67" s="29" t="s">
        <v>697</v>
      </c>
      <c r="I67" s="29"/>
      <c r="J67" s="29"/>
      <c r="K67" s="29"/>
      <c r="L67" s="29"/>
    </row>
    <row r="68" spans="1:13">
      <c r="A68" s="29" t="s">
        <v>698</v>
      </c>
      <c r="B68" s="29">
        <v>0.12</v>
      </c>
      <c r="C68" t="s">
        <v>20</v>
      </c>
      <c r="D68" t="s">
        <v>38</v>
      </c>
      <c r="F68" s="29" t="s">
        <v>26</v>
      </c>
      <c r="G68" s="29" t="s">
        <v>625</v>
      </c>
      <c r="H68" s="29" t="s">
        <v>699</v>
      </c>
      <c r="I68" s="29"/>
      <c r="J68" s="29"/>
      <c r="K68" s="29"/>
      <c r="L68" s="29"/>
    </row>
    <row r="69" spans="1:13">
      <c r="A69" s="29" t="s">
        <v>651</v>
      </c>
      <c r="B69" s="29">
        <v>0.42</v>
      </c>
      <c r="C69" t="s">
        <v>169</v>
      </c>
      <c r="D69" s="29" t="s">
        <v>33</v>
      </c>
      <c r="F69" s="29" t="s">
        <v>26</v>
      </c>
      <c r="G69" s="29" t="s">
        <v>493</v>
      </c>
      <c r="H69" s="29" t="s">
        <v>700</v>
      </c>
      <c r="I69" s="29"/>
      <c r="J69" s="29"/>
      <c r="K69" s="29"/>
      <c r="L69" s="29"/>
    </row>
    <row r="70" spans="1:13">
      <c r="A70" s="29" t="s">
        <v>651</v>
      </c>
      <c r="B70" s="29">
        <v>1.2</v>
      </c>
      <c r="C70" t="s">
        <v>169</v>
      </c>
      <c r="D70" s="29" t="s">
        <v>33</v>
      </c>
      <c r="F70" s="29" t="s">
        <v>26</v>
      </c>
      <c r="G70" s="29" t="s">
        <v>493</v>
      </c>
      <c r="H70" s="29" t="s">
        <v>700</v>
      </c>
      <c r="I70" s="29"/>
      <c r="J70" s="29"/>
      <c r="K70" s="29"/>
      <c r="L70" s="29"/>
    </row>
    <row r="71" spans="1:13">
      <c r="A71" s="29" t="s">
        <v>368</v>
      </c>
      <c r="B71" s="29">
        <v>1.32</v>
      </c>
      <c r="C71" s="33" t="s">
        <v>20</v>
      </c>
      <c r="D71" s="29" t="s">
        <v>8</v>
      </c>
      <c r="F71" s="29" t="s">
        <v>26</v>
      </c>
      <c r="G71" s="29" t="s">
        <v>366</v>
      </c>
      <c r="H71" s="29" t="s">
        <v>701</v>
      </c>
      <c r="I71" s="29"/>
      <c r="J71" s="29"/>
      <c r="K71" s="29"/>
      <c r="L71" s="29"/>
    </row>
    <row r="72" spans="1:13">
      <c r="A72" s="58" t="s">
        <v>1248</v>
      </c>
      <c r="B72" s="29">
        <v>0.1</v>
      </c>
      <c r="C72" t="s">
        <v>20</v>
      </c>
      <c r="D72" s="29" t="s">
        <v>35</v>
      </c>
      <c r="F72" s="29" t="s">
        <v>26</v>
      </c>
      <c r="G72" s="58" t="s">
        <v>1249</v>
      </c>
      <c r="H72" s="29" t="s">
        <v>702</v>
      </c>
      <c r="I72" s="29"/>
      <c r="J72" s="29"/>
      <c r="K72" s="29"/>
      <c r="L72" s="29"/>
    </row>
    <row r="73" spans="1:13">
      <c r="A73" s="58" t="s">
        <v>1253</v>
      </c>
      <c r="B73" s="29">
        <v>0.21</v>
      </c>
      <c r="C73" s="33" t="s">
        <v>169</v>
      </c>
      <c r="D73" s="29" t="s">
        <v>35</v>
      </c>
      <c r="F73" s="29" t="s">
        <v>26</v>
      </c>
      <c r="G73" s="58" t="s">
        <v>1254</v>
      </c>
      <c r="H73" s="29" t="s">
        <v>703</v>
      </c>
      <c r="I73" s="29"/>
      <c r="J73" s="29"/>
      <c r="K73" s="29"/>
      <c r="L73" s="29"/>
    </row>
    <row r="74" spans="1:13">
      <c r="A74" s="29" t="s">
        <v>619</v>
      </c>
      <c r="B74" s="32">
        <v>-2.5000000000000001E-2</v>
      </c>
      <c r="C74" t="s">
        <v>1267</v>
      </c>
      <c r="D74" t="s">
        <v>38</v>
      </c>
      <c r="F74" s="29" t="s">
        <v>26</v>
      </c>
      <c r="G74" s="29" t="s">
        <v>620</v>
      </c>
      <c r="H74" s="29" t="s">
        <v>661</v>
      </c>
      <c r="I74" s="31"/>
    </row>
    <row r="75" spans="1:13">
      <c r="I75" s="29"/>
      <c r="J75" s="29"/>
      <c r="K75" s="29"/>
      <c r="L75" s="29"/>
    </row>
    <row r="76" spans="1:13">
      <c r="A76" s="1" t="s">
        <v>0</v>
      </c>
      <c r="B76" s="1" t="s">
        <v>704</v>
      </c>
      <c r="M76" t="s">
        <v>12</v>
      </c>
    </row>
    <row r="77" spans="1:13">
      <c r="A77" t="s">
        <v>1</v>
      </c>
      <c r="B77" t="s">
        <v>20</v>
      </c>
      <c r="M77" t="s">
        <v>12</v>
      </c>
    </row>
    <row r="78" spans="1:13">
      <c r="A78" t="s">
        <v>2</v>
      </c>
      <c r="B78">
        <v>1</v>
      </c>
      <c r="M78" t="s">
        <v>12</v>
      </c>
    </row>
    <row r="79" spans="1:13">
      <c r="A79" t="s">
        <v>13</v>
      </c>
      <c r="B79" t="s">
        <v>705</v>
      </c>
    </row>
    <row r="80" spans="1:13">
      <c r="A80" t="s">
        <v>11</v>
      </c>
      <c r="B80" t="s">
        <v>636</v>
      </c>
    </row>
    <row r="81" spans="1:13">
      <c r="A81" t="s">
        <v>3</v>
      </c>
      <c r="B81" t="s">
        <v>706</v>
      </c>
      <c r="M81" t="s">
        <v>12</v>
      </c>
    </row>
    <row r="82" spans="1:13">
      <c r="A82" t="s">
        <v>5</v>
      </c>
      <c r="B82" t="s">
        <v>6</v>
      </c>
      <c r="M82" t="s">
        <v>12</v>
      </c>
    </row>
    <row r="83" spans="1:13">
      <c r="A83" t="s">
        <v>7</v>
      </c>
      <c r="B83" t="s">
        <v>38</v>
      </c>
      <c r="M83" t="s">
        <v>12</v>
      </c>
    </row>
    <row r="84" spans="1:13">
      <c r="A84" s="1" t="s">
        <v>14</v>
      </c>
      <c r="M84" t="s">
        <v>12</v>
      </c>
    </row>
    <row r="85" spans="1:13">
      <c r="A85" s="1" t="s">
        <v>15</v>
      </c>
      <c r="B85" s="1" t="s">
        <v>16</v>
      </c>
      <c r="C85" s="1" t="s">
        <v>1</v>
      </c>
      <c r="D85" s="1" t="s">
        <v>7</v>
      </c>
      <c r="E85" s="1" t="s">
        <v>18</v>
      </c>
      <c r="F85" s="1" t="s">
        <v>5</v>
      </c>
      <c r="G85" s="1" t="s">
        <v>3</v>
      </c>
      <c r="H85" s="1" t="s">
        <v>13</v>
      </c>
    </row>
    <row r="86" spans="1:13">
      <c r="A86" t="str">
        <f>B76</f>
        <v>stack frame assembly, for VRFB system</v>
      </c>
      <c r="B86">
        <v>1</v>
      </c>
      <c r="C86" t="s">
        <v>20</v>
      </c>
      <c r="D86" t="s">
        <v>38</v>
      </c>
      <c r="F86" t="s">
        <v>24</v>
      </c>
      <c r="G86" t="str">
        <f>B81</f>
        <v>stack frame, for VRFB system</v>
      </c>
      <c r="I86" s="31"/>
    </row>
    <row r="87" spans="1:13">
      <c r="A87" s="29" t="s">
        <v>39</v>
      </c>
      <c r="B87" s="29">
        <v>1</v>
      </c>
      <c r="C87" t="s">
        <v>34</v>
      </c>
      <c r="D87" t="s">
        <v>38</v>
      </c>
      <c r="F87" t="s">
        <v>26</v>
      </c>
      <c r="G87" s="29" t="s">
        <v>40</v>
      </c>
      <c r="H87" s="29" t="s">
        <v>707</v>
      </c>
      <c r="I87" s="29"/>
      <c r="J87" s="29"/>
      <c r="K87" s="29"/>
      <c r="L87" s="29"/>
    </row>
    <row r="88" spans="1:13">
      <c r="A88" s="29" t="s">
        <v>708</v>
      </c>
      <c r="B88" s="29">
        <v>1</v>
      </c>
      <c r="C88" t="s">
        <v>34</v>
      </c>
      <c r="D88" t="s">
        <v>38</v>
      </c>
      <c r="F88" t="s">
        <v>26</v>
      </c>
      <c r="G88" s="29" t="s">
        <v>627</v>
      </c>
      <c r="H88" s="29" t="s">
        <v>709</v>
      </c>
      <c r="I88" s="29"/>
      <c r="J88" s="29"/>
      <c r="K88" s="29"/>
      <c r="L88" s="29"/>
    </row>
    <row r="89" spans="1:13">
      <c r="A89" s="29" t="s">
        <v>710</v>
      </c>
      <c r="B89" s="32">
        <v>3.2599999999999997E-2</v>
      </c>
      <c r="C89" t="s">
        <v>34</v>
      </c>
      <c r="D89" t="s">
        <v>131</v>
      </c>
      <c r="F89" t="s">
        <v>26</v>
      </c>
      <c r="G89" s="29" t="s">
        <v>711</v>
      </c>
      <c r="H89" s="29" t="s">
        <v>712</v>
      </c>
      <c r="I89" s="29"/>
      <c r="J89" s="29"/>
      <c r="K89" s="29"/>
      <c r="L89" s="29"/>
    </row>
    <row r="90" spans="1:13">
      <c r="A90" s="59" t="s">
        <v>1248</v>
      </c>
      <c r="B90" s="29">
        <v>0.1</v>
      </c>
      <c r="C90" t="s">
        <v>20</v>
      </c>
      <c r="D90" t="s">
        <v>35</v>
      </c>
      <c r="F90" t="s">
        <v>26</v>
      </c>
      <c r="G90" s="59" t="s">
        <v>1249</v>
      </c>
      <c r="H90" s="29" t="s">
        <v>713</v>
      </c>
      <c r="I90" s="29"/>
      <c r="J90" s="29"/>
      <c r="K90" s="29"/>
      <c r="L90" s="29"/>
    </row>
    <row r="91" spans="1:13">
      <c r="A91" s="29" t="s">
        <v>1253</v>
      </c>
      <c r="B91" s="29">
        <v>0.2</v>
      </c>
      <c r="C91" t="s">
        <v>169</v>
      </c>
      <c r="D91" t="s">
        <v>35</v>
      </c>
      <c r="F91" t="s">
        <v>26</v>
      </c>
      <c r="G91" s="29" t="s">
        <v>1254</v>
      </c>
      <c r="H91" s="29" t="s">
        <v>714</v>
      </c>
      <c r="I91" s="29"/>
      <c r="J91" s="29"/>
      <c r="K91" s="29"/>
      <c r="L91" s="29"/>
    </row>
    <row r="93" spans="1:13">
      <c r="A93" s="1" t="s">
        <v>0</v>
      </c>
      <c r="B93" s="1" t="s">
        <v>715</v>
      </c>
      <c r="M93" t="s">
        <v>12</v>
      </c>
    </row>
    <row r="94" spans="1:13">
      <c r="A94" t="s">
        <v>1</v>
      </c>
      <c r="B94" t="s">
        <v>20</v>
      </c>
      <c r="M94" t="s">
        <v>12</v>
      </c>
    </row>
    <row r="95" spans="1:13">
      <c r="A95" t="s">
        <v>2</v>
      </c>
      <c r="B95">
        <v>1</v>
      </c>
      <c r="M95" t="s">
        <v>12</v>
      </c>
    </row>
    <row r="96" spans="1:13">
      <c r="A96" t="s">
        <v>13</v>
      </c>
      <c r="B96" t="s">
        <v>716</v>
      </c>
    </row>
    <row r="97" spans="1:13">
      <c r="A97" t="s">
        <v>11</v>
      </c>
      <c r="B97" t="s">
        <v>636</v>
      </c>
    </row>
    <row r="98" spans="1:13">
      <c r="A98" t="s">
        <v>3</v>
      </c>
      <c r="B98" t="s">
        <v>717</v>
      </c>
      <c r="M98" t="s">
        <v>12</v>
      </c>
    </row>
    <row r="99" spans="1:13">
      <c r="A99" t="s">
        <v>5</v>
      </c>
      <c r="B99" t="s">
        <v>6</v>
      </c>
      <c r="M99" t="s">
        <v>12</v>
      </c>
    </row>
    <row r="100" spans="1:13">
      <c r="A100" t="s">
        <v>7</v>
      </c>
      <c r="B100" t="s">
        <v>38</v>
      </c>
      <c r="M100" t="s">
        <v>12</v>
      </c>
    </row>
    <row r="101" spans="1:13">
      <c r="A101" s="1" t="s">
        <v>14</v>
      </c>
      <c r="M101" t="s">
        <v>12</v>
      </c>
    </row>
    <row r="102" spans="1:13">
      <c r="A102" s="1" t="s">
        <v>15</v>
      </c>
      <c r="B102" s="1" t="s">
        <v>16</v>
      </c>
      <c r="C102" s="1" t="s">
        <v>1</v>
      </c>
      <c r="D102" s="1" t="s">
        <v>7</v>
      </c>
      <c r="E102" s="1" t="s">
        <v>18</v>
      </c>
      <c r="F102" s="1" t="s">
        <v>5</v>
      </c>
      <c r="G102" s="1" t="s">
        <v>3</v>
      </c>
      <c r="H102" s="1" t="s">
        <v>13</v>
      </c>
    </row>
    <row r="103" spans="1:13">
      <c r="A103" t="str">
        <f>B93</f>
        <v>vanadium electrolyte solution production</v>
      </c>
      <c r="B103">
        <v>1</v>
      </c>
      <c r="C103" t="s">
        <v>20</v>
      </c>
      <c r="D103" t="s">
        <v>38</v>
      </c>
      <c r="F103" t="s">
        <v>24</v>
      </c>
      <c r="G103" t="str">
        <f>B98</f>
        <v>vanadium electrolyte solution</v>
      </c>
      <c r="I103" s="29"/>
      <c r="J103" s="29"/>
      <c r="K103" s="29"/>
      <c r="L103" s="29"/>
    </row>
    <row r="104" spans="1:13">
      <c r="A104" s="29" t="s">
        <v>718</v>
      </c>
      <c r="B104" s="29">
        <v>0.28599999999999998</v>
      </c>
      <c r="C104" t="s">
        <v>622</v>
      </c>
      <c r="D104" t="s">
        <v>38</v>
      </c>
      <c r="F104" t="s">
        <v>26</v>
      </c>
      <c r="G104" s="29" t="s">
        <v>719</v>
      </c>
      <c r="H104" s="29" t="s">
        <v>720</v>
      </c>
      <c r="I104" s="29"/>
      <c r="J104" s="29"/>
      <c r="K104" s="29"/>
      <c r="L104" s="29"/>
    </row>
    <row r="105" spans="1:13">
      <c r="A105" s="29" t="s">
        <v>176</v>
      </c>
      <c r="B105" s="29">
        <v>0.19600000000000001</v>
      </c>
      <c r="C105" t="s">
        <v>20</v>
      </c>
      <c r="D105" t="s">
        <v>38</v>
      </c>
      <c r="F105" t="s">
        <v>26</v>
      </c>
      <c r="G105" s="29" t="s">
        <v>177</v>
      </c>
      <c r="H105" s="29" t="s">
        <v>721</v>
      </c>
      <c r="I105" s="29"/>
      <c r="J105" s="29"/>
      <c r="K105" s="29"/>
      <c r="L105" s="29"/>
    </row>
    <row r="106" spans="1:13">
      <c r="A106" s="29" t="s">
        <v>722</v>
      </c>
      <c r="B106" s="32">
        <v>4.8989999999999997E-3</v>
      </c>
      <c r="C106" t="s">
        <v>34</v>
      </c>
      <c r="D106" t="s">
        <v>38</v>
      </c>
      <c r="F106" t="s">
        <v>26</v>
      </c>
      <c r="G106" s="29" t="s">
        <v>723</v>
      </c>
      <c r="H106" s="29" t="s">
        <v>724</v>
      </c>
      <c r="I106" s="29"/>
      <c r="J106" s="29"/>
      <c r="K106" s="29"/>
      <c r="L106" s="29"/>
    </row>
    <row r="107" spans="1:13">
      <c r="A107" s="29" t="s">
        <v>173</v>
      </c>
      <c r="B107" s="29">
        <v>0.86299999999999999</v>
      </c>
      <c r="C107" t="s">
        <v>169</v>
      </c>
      <c r="D107" t="s">
        <v>38</v>
      </c>
      <c r="F107" t="s">
        <v>26</v>
      </c>
      <c r="G107" s="29" t="s">
        <v>174</v>
      </c>
      <c r="H107" s="29" t="s">
        <v>697</v>
      </c>
      <c r="I107" s="29"/>
      <c r="J107" s="29"/>
      <c r="K107" s="29"/>
      <c r="L107" s="29"/>
    </row>
    <row r="108" spans="1:13">
      <c r="A108" s="59" t="s">
        <v>1248</v>
      </c>
      <c r="B108" s="29">
        <v>0.02</v>
      </c>
      <c r="C108" t="s">
        <v>20</v>
      </c>
      <c r="D108" s="29" t="s">
        <v>35</v>
      </c>
      <c r="F108" t="s">
        <v>26</v>
      </c>
      <c r="G108" s="59" t="s">
        <v>1249</v>
      </c>
      <c r="H108" s="29" t="s">
        <v>702</v>
      </c>
      <c r="I108" s="29"/>
      <c r="J108" s="29"/>
      <c r="K108" s="29"/>
      <c r="L108" s="29"/>
    </row>
    <row r="109" spans="1:13">
      <c r="A109" s="29" t="s">
        <v>1253</v>
      </c>
      <c r="B109" s="29">
        <v>0.121</v>
      </c>
      <c r="C109" t="s">
        <v>169</v>
      </c>
      <c r="D109" s="29" t="s">
        <v>35</v>
      </c>
      <c r="F109" t="s">
        <v>26</v>
      </c>
      <c r="G109" s="29" t="s">
        <v>1254</v>
      </c>
      <c r="H109" s="29" t="s">
        <v>703</v>
      </c>
      <c r="I109" s="29"/>
      <c r="J109" s="29"/>
      <c r="K109" s="29"/>
      <c r="L109" s="29"/>
    </row>
    <row r="110" spans="1:13">
      <c r="A110" s="60" t="s">
        <v>1278</v>
      </c>
      <c r="B110" s="29">
        <v>3.8130000000000002</v>
      </c>
      <c r="C110" t="s">
        <v>34</v>
      </c>
      <c r="D110" s="29" t="s">
        <v>35</v>
      </c>
      <c r="F110" t="s">
        <v>26</v>
      </c>
      <c r="G110" s="29" t="s">
        <v>1279</v>
      </c>
      <c r="H110" s="29" t="s">
        <v>725</v>
      </c>
      <c r="I110" s="29"/>
      <c r="J110" s="29"/>
      <c r="K110" s="29"/>
      <c r="L110" s="29"/>
    </row>
    <row r="111" spans="1:13">
      <c r="A111" s="29" t="s">
        <v>1257</v>
      </c>
      <c r="B111" s="29">
        <v>0.17299999999999999</v>
      </c>
      <c r="C111" t="s">
        <v>20</v>
      </c>
      <c r="D111" s="29" t="s">
        <v>35</v>
      </c>
      <c r="F111" t="s">
        <v>26</v>
      </c>
      <c r="G111" s="59" t="s">
        <v>1258</v>
      </c>
      <c r="H111" s="29" t="s">
        <v>726</v>
      </c>
      <c r="I111" s="29"/>
      <c r="J111" s="29"/>
      <c r="K111" s="29"/>
      <c r="L111" s="29"/>
    </row>
    <row r="112" spans="1:13">
      <c r="A112" s="29" t="s">
        <v>300</v>
      </c>
      <c r="B112" s="29">
        <v>0.187</v>
      </c>
      <c r="C112" t="s">
        <v>20</v>
      </c>
      <c r="D112" s="29" t="s">
        <v>35</v>
      </c>
      <c r="F112" t="s">
        <v>26</v>
      </c>
      <c r="G112" s="60" t="s">
        <v>1260</v>
      </c>
      <c r="H112" s="29" t="s">
        <v>727</v>
      </c>
    </row>
    <row r="114" spans="1:13">
      <c r="A114" s="1" t="s">
        <v>0</v>
      </c>
      <c r="B114" s="1" t="s">
        <v>728</v>
      </c>
      <c r="M114" t="s">
        <v>12</v>
      </c>
    </row>
    <row r="115" spans="1:13">
      <c r="A115" t="s">
        <v>1</v>
      </c>
      <c r="B115" t="s">
        <v>20</v>
      </c>
      <c r="M115" t="s">
        <v>12</v>
      </c>
    </row>
    <row r="116" spans="1:13">
      <c r="A116" t="s">
        <v>2</v>
      </c>
      <c r="B116">
        <v>1</v>
      </c>
      <c r="M116" t="s">
        <v>12</v>
      </c>
    </row>
    <row r="117" spans="1:13">
      <c r="A117" t="s">
        <v>13</v>
      </c>
      <c r="B117" t="s">
        <v>729</v>
      </c>
    </row>
    <row r="118" spans="1:13">
      <c r="A118" t="s">
        <v>11</v>
      </c>
      <c r="B118" t="s">
        <v>636</v>
      </c>
    </row>
    <row r="119" spans="1:13">
      <c r="A119" t="s">
        <v>3</v>
      </c>
      <c r="B119" t="s">
        <v>730</v>
      </c>
      <c r="M119" t="s">
        <v>12</v>
      </c>
    </row>
    <row r="120" spans="1:13">
      <c r="A120" t="s">
        <v>5</v>
      </c>
      <c r="B120" t="s">
        <v>6</v>
      </c>
      <c r="M120" t="s">
        <v>12</v>
      </c>
    </row>
    <row r="121" spans="1:13">
      <c r="A121" t="s">
        <v>7</v>
      </c>
      <c r="B121" t="s">
        <v>38</v>
      </c>
      <c r="M121" t="s">
        <v>12</v>
      </c>
    </row>
    <row r="122" spans="1:13">
      <c r="A122" s="1" t="s">
        <v>14</v>
      </c>
      <c r="M122" t="s">
        <v>12</v>
      </c>
    </row>
    <row r="123" spans="1:13">
      <c r="A123" s="1" t="s">
        <v>15</v>
      </c>
      <c r="B123" s="1" t="s">
        <v>16</v>
      </c>
      <c r="C123" s="1" t="s">
        <v>1</v>
      </c>
      <c r="D123" s="1" t="s">
        <v>7</v>
      </c>
      <c r="E123" s="1" t="s">
        <v>18</v>
      </c>
      <c r="F123" s="1" t="s">
        <v>5</v>
      </c>
      <c r="G123" s="1" t="s">
        <v>3</v>
      </c>
      <c r="H123" s="1" t="s">
        <v>13</v>
      </c>
    </row>
    <row r="124" spans="1:13">
      <c r="A124" t="str">
        <f>B114</f>
        <v>electrolyte tank production, for VRFB system</v>
      </c>
      <c r="B124">
        <v>1</v>
      </c>
      <c r="C124" t="s">
        <v>20</v>
      </c>
      <c r="D124" t="s">
        <v>38</v>
      </c>
      <c r="F124" t="s">
        <v>24</v>
      </c>
      <c r="G124" t="str">
        <f>B119</f>
        <v>electrolyte tank</v>
      </c>
      <c r="I124" s="29"/>
      <c r="J124" s="29"/>
      <c r="K124" s="29"/>
      <c r="L124" s="29"/>
    </row>
    <row r="125" spans="1:13">
      <c r="A125" s="29" t="s">
        <v>82</v>
      </c>
      <c r="B125" s="29">
        <v>0.41</v>
      </c>
      <c r="C125" t="s">
        <v>20</v>
      </c>
      <c r="D125" t="s">
        <v>38</v>
      </c>
      <c r="F125" t="s">
        <v>26</v>
      </c>
      <c r="G125" s="29" t="s">
        <v>83</v>
      </c>
      <c r="I125" s="29"/>
      <c r="J125" s="29"/>
      <c r="K125" s="29"/>
      <c r="L125" s="29"/>
    </row>
    <row r="126" spans="1:13">
      <c r="A126" s="29" t="s">
        <v>731</v>
      </c>
      <c r="B126" s="29">
        <v>0.62</v>
      </c>
      <c r="C126" t="s">
        <v>34</v>
      </c>
      <c r="D126" t="s">
        <v>38</v>
      </c>
      <c r="F126" t="s">
        <v>26</v>
      </c>
      <c r="G126" s="29" t="s">
        <v>732</v>
      </c>
      <c r="I126" s="29"/>
      <c r="J126" s="29"/>
      <c r="K126" s="29"/>
      <c r="L126" s="29"/>
    </row>
    <row r="127" spans="1:13">
      <c r="A127" s="29" t="s">
        <v>183</v>
      </c>
      <c r="B127" s="32">
        <v>2.4500000000000001E-2</v>
      </c>
      <c r="C127" t="s">
        <v>34</v>
      </c>
      <c r="D127" t="s">
        <v>38</v>
      </c>
      <c r="F127" t="s">
        <v>26</v>
      </c>
      <c r="G127" s="29" t="s">
        <v>184</v>
      </c>
      <c r="I127" s="29"/>
      <c r="J127" s="29"/>
      <c r="K127" s="29"/>
      <c r="L127" s="29"/>
    </row>
    <row r="128" spans="1:13">
      <c r="A128" s="29" t="s">
        <v>1286</v>
      </c>
      <c r="B128" s="32">
        <v>2.1899999999999999E-2</v>
      </c>
      <c r="C128" t="s">
        <v>20</v>
      </c>
      <c r="D128" t="s">
        <v>38</v>
      </c>
      <c r="F128" t="s">
        <v>26</v>
      </c>
      <c r="G128" s="29" t="s">
        <v>1287</v>
      </c>
      <c r="I128" s="29"/>
      <c r="J128" s="29"/>
      <c r="K128" s="29"/>
      <c r="L128" s="29"/>
    </row>
    <row r="129" spans="1:13">
      <c r="A129" s="29" t="s">
        <v>733</v>
      </c>
      <c r="B129" s="32">
        <v>2.1899999999999999E-2</v>
      </c>
      <c r="C129" t="s">
        <v>34</v>
      </c>
      <c r="D129" t="s">
        <v>38</v>
      </c>
      <c r="F129" t="s">
        <v>26</v>
      </c>
      <c r="G129" s="29" t="s">
        <v>734</v>
      </c>
      <c r="I129" s="29"/>
      <c r="J129" s="29"/>
      <c r="K129" s="29"/>
      <c r="L129" s="29"/>
    </row>
    <row r="130" spans="1:13">
      <c r="A130" s="29" t="s">
        <v>1253</v>
      </c>
      <c r="B130" s="29">
        <v>0.21</v>
      </c>
      <c r="C130" t="s">
        <v>169</v>
      </c>
      <c r="D130" s="29" t="s">
        <v>35</v>
      </c>
      <c r="F130" t="s">
        <v>26</v>
      </c>
      <c r="G130" s="29" t="s">
        <v>1254</v>
      </c>
      <c r="H130" s="29" t="s">
        <v>703</v>
      </c>
      <c r="I130" s="29"/>
      <c r="J130" s="29"/>
      <c r="K130" s="29"/>
      <c r="L130" s="29"/>
    </row>
    <row r="131" spans="1:13">
      <c r="A131" s="59" t="s">
        <v>1248</v>
      </c>
      <c r="B131" s="29">
        <v>0.11</v>
      </c>
      <c r="C131" t="s">
        <v>20</v>
      </c>
      <c r="D131" s="29" t="s">
        <v>35</v>
      </c>
      <c r="F131" t="s">
        <v>26</v>
      </c>
      <c r="G131" s="59" t="s">
        <v>1249</v>
      </c>
      <c r="I131" s="29"/>
      <c r="J131" s="29"/>
      <c r="K131" s="29"/>
      <c r="L131" s="29"/>
    </row>
    <row r="132" spans="1:13">
      <c r="A132" s="29" t="s">
        <v>1278</v>
      </c>
      <c r="B132" s="29">
        <v>1.06</v>
      </c>
      <c r="C132" t="s">
        <v>34</v>
      </c>
      <c r="D132" s="29" t="s">
        <v>35</v>
      </c>
      <c r="F132" t="s">
        <v>26</v>
      </c>
      <c r="G132" s="29" t="s">
        <v>1279</v>
      </c>
      <c r="I132" s="29"/>
      <c r="J132" s="29"/>
      <c r="K132" s="29"/>
      <c r="L132" s="29"/>
    </row>
    <row r="133" spans="1:13">
      <c r="A133" s="29" t="s">
        <v>735</v>
      </c>
      <c r="B133" s="32">
        <v>-5.1400000000000001E-2</v>
      </c>
      <c r="C133" t="s">
        <v>169</v>
      </c>
      <c r="D133" t="s">
        <v>38</v>
      </c>
      <c r="F133" t="s">
        <v>26</v>
      </c>
      <c r="G133" s="29" t="s">
        <v>629</v>
      </c>
      <c r="I133" s="31"/>
    </row>
    <row r="134" spans="1:13">
      <c r="A134" s="29" t="s">
        <v>736</v>
      </c>
      <c r="B134" s="32">
        <v>6.2500000000000001E-5</v>
      </c>
      <c r="D134" t="s">
        <v>38</v>
      </c>
      <c r="E134" t="s">
        <v>127</v>
      </c>
      <c r="F134" t="s">
        <v>126</v>
      </c>
      <c r="I134" s="29"/>
      <c r="J134" s="29"/>
      <c r="K134" s="29"/>
      <c r="L134" s="29"/>
    </row>
    <row r="135" spans="1:13">
      <c r="I135" s="29"/>
      <c r="J135" s="29"/>
      <c r="K135" s="29"/>
      <c r="L135" s="29"/>
    </row>
    <row r="136" spans="1:13">
      <c r="A136" s="1" t="s">
        <v>0</v>
      </c>
      <c r="B136" s="1" t="s">
        <v>737</v>
      </c>
      <c r="M136" t="s">
        <v>12</v>
      </c>
    </row>
    <row r="137" spans="1:13">
      <c r="A137" t="s">
        <v>1</v>
      </c>
      <c r="B137" t="s">
        <v>20</v>
      </c>
      <c r="M137" t="s">
        <v>12</v>
      </c>
    </row>
    <row r="138" spans="1:13">
      <c r="A138" t="s">
        <v>2</v>
      </c>
      <c r="B138">
        <v>1</v>
      </c>
      <c r="M138" t="s">
        <v>12</v>
      </c>
    </row>
    <row r="139" spans="1:13">
      <c r="A139" t="s">
        <v>13</v>
      </c>
      <c r="B139" t="s">
        <v>738</v>
      </c>
    </row>
    <row r="140" spans="1:13">
      <c r="A140" t="s">
        <v>11</v>
      </c>
      <c r="B140" t="s">
        <v>636</v>
      </c>
    </row>
    <row r="141" spans="1:13">
      <c r="A141" t="s">
        <v>3</v>
      </c>
      <c r="B141" t="s">
        <v>739</v>
      </c>
      <c r="M141" t="s">
        <v>12</v>
      </c>
    </row>
    <row r="142" spans="1:13">
      <c r="A142" t="s">
        <v>5</v>
      </c>
      <c r="B142" t="s">
        <v>6</v>
      </c>
      <c r="M142" t="s">
        <v>12</v>
      </c>
    </row>
    <row r="143" spans="1:13">
      <c r="A143" t="s">
        <v>7</v>
      </c>
      <c r="B143" t="s">
        <v>38</v>
      </c>
      <c r="M143" t="s">
        <v>12</v>
      </c>
    </row>
    <row r="144" spans="1:13">
      <c r="A144" s="1" t="s">
        <v>14</v>
      </c>
      <c r="M144" t="s">
        <v>12</v>
      </c>
    </row>
    <row r="145" spans="1:13">
      <c r="A145" s="1" t="s">
        <v>15</v>
      </c>
      <c r="B145" s="1" t="s">
        <v>16</v>
      </c>
      <c r="C145" s="1" t="s">
        <v>1</v>
      </c>
      <c r="D145" s="1" t="s">
        <v>7</v>
      </c>
      <c r="E145" s="1" t="s">
        <v>18</v>
      </c>
      <c r="F145" s="1" t="s">
        <v>5</v>
      </c>
      <c r="G145" s="1" t="s">
        <v>3</v>
      </c>
      <c r="H145" s="1" t="s">
        <v>13</v>
      </c>
      <c r="I145" s="31"/>
    </row>
    <row r="146" spans="1:13">
      <c r="A146" t="str">
        <f>B136</f>
        <v>current collector production, for VRFB system</v>
      </c>
      <c r="B146">
        <v>1</v>
      </c>
      <c r="C146" t="s">
        <v>20</v>
      </c>
      <c r="D146" t="s">
        <v>38</v>
      </c>
      <c r="F146" t="s">
        <v>24</v>
      </c>
      <c r="G146" t="str">
        <f>B141</f>
        <v>current collector, for VRFB system</v>
      </c>
      <c r="I146" s="29"/>
      <c r="J146" s="29"/>
      <c r="K146" s="29"/>
      <c r="L146" s="29"/>
    </row>
    <row r="147" spans="1:13">
      <c r="A147" s="29" t="s">
        <v>67</v>
      </c>
      <c r="B147" s="29">
        <v>1</v>
      </c>
      <c r="C147" t="s">
        <v>34</v>
      </c>
      <c r="D147" t="s">
        <v>38</v>
      </c>
      <c r="F147" t="s">
        <v>26</v>
      </c>
      <c r="G147" s="29" t="s">
        <v>68</v>
      </c>
      <c r="H147" s="29" t="s">
        <v>740</v>
      </c>
      <c r="I147" s="29"/>
      <c r="J147" s="29"/>
      <c r="K147" s="29"/>
      <c r="L147" s="29"/>
    </row>
    <row r="148" spans="1:13">
      <c r="A148" s="29" t="s">
        <v>741</v>
      </c>
      <c r="B148" s="29">
        <v>1</v>
      </c>
      <c r="C148" t="s">
        <v>34</v>
      </c>
      <c r="D148" t="s">
        <v>38</v>
      </c>
      <c r="F148" t="s">
        <v>26</v>
      </c>
      <c r="G148" s="29" t="s">
        <v>742</v>
      </c>
      <c r="H148" s="29" t="s">
        <v>743</v>
      </c>
      <c r="I148" s="29"/>
      <c r="J148" s="29"/>
      <c r="K148" s="29"/>
      <c r="L148" s="29"/>
    </row>
    <row r="149" spans="1:13">
      <c r="A149" s="29" t="s">
        <v>744</v>
      </c>
      <c r="B149" s="32">
        <v>4.0000000000000001E-10</v>
      </c>
      <c r="C149" t="s">
        <v>34</v>
      </c>
      <c r="D149" s="29" t="s">
        <v>7</v>
      </c>
      <c r="F149" t="s">
        <v>26</v>
      </c>
      <c r="G149" s="29" t="s">
        <v>626</v>
      </c>
      <c r="H149" s="29" t="s">
        <v>650</v>
      </c>
      <c r="I149" s="29"/>
      <c r="J149" s="29"/>
      <c r="K149" s="29"/>
      <c r="L149" s="29"/>
    </row>
    <row r="150" spans="1:13">
      <c r="A150" s="59" t="s">
        <v>1248</v>
      </c>
      <c r="B150" s="29">
        <v>0.1</v>
      </c>
      <c r="C150" t="s">
        <v>20</v>
      </c>
      <c r="D150" s="29" t="s">
        <v>35</v>
      </c>
      <c r="F150" t="s">
        <v>26</v>
      </c>
      <c r="G150" s="59" t="s">
        <v>1249</v>
      </c>
      <c r="H150" s="29" t="s">
        <v>702</v>
      </c>
      <c r="I150" s="29"/>
      <c r="J150" s="29"/>
      <c r="K150" s="29"/>
      <c r="L150" s="29"/>
    </row>
    <row r="151" spans="1:13">
      <c r="A151" s="29" t="s">
        <v>1253</v>
      </c>
      <c r="B151" s="29">
        <v>0.2</v>
      </c>
      <c r="C151" t="s">
        <v>169</v>
      </c>
      <c r="D151" s="29" t="s">
        <v>35</v>
      </c>
      <c r="F151" t="s">
        <v>26</v>
      </c>
      <c r="G151" s="29" t="s">
        <v>1254</v>
      </c>
      <c r="H151" s="29" t="s">
        <v>703</v>
      </c>
      <c r="I151" s="31"/>
    </row>
    <row r="152" spans="1:13">
      <c r="I152" s="29"/>
      <c r="J152" s="29"/>
      <c r="K152" s="29"/>
      <c r="L152" s="29"/>
    </row>
    <row r="153" spans="1:13">
      <c r="A153" s="1" t="s">
        <v>0</v>
      </c>
      <c r="B153" s="1" t="s">
        <v>745</v>
      </c>
      <c r="M153" t="s">
        <v>12</v>
      </c>
    </row>
    <row r="154" spans="1:13">
      <c r="A154" t="s">
        <v>1</v>
      </c>
      <c r="B154" t="s">
        <v>20</v>
      </c>
      <c r="M154" t="s">
        <v>12</v>
      </c>
    </row>
    <row r="155" spans="1:13">
      <c r="A155" t="s">
        <v>2</v>
      </c>
      <c r="B155">
        <v>1</v>
      </c>
      <c r="M155" t="s">
        <v>12</v>
      </c>
    </row>
    <row r="156" spans="1:13">
      <c r="A156" t="s">
        <v>13</v>
      </c>
      <c r="B156" t="s">
        <v>746</v>
      </c>
    </row>
    <row r="157" spans="1:13">
      <c r="A157" t="s">
        <v>11</v>
      </c>
      <c r="B157" t="s">
        <v>636</v>
      </c>
    </row>
    <row r="158" spans="1:13">
      <c r="A158" t="s">
        <v>3</v>
      </c>
      <c r="B158" t="s">
        <v>747</v>
      </c>
      <c r="M158" t="s">
        <v>12</v>
      </c>
    </row>
    <row r="159" spans="1:13">
      <c r="A159" t="s">
        <v>5</v>
      </c>
      <c r="B159" t="s">
        <v>6</v>
      </c>
      <c r="M159" t="s">
        <v>12</v>
      </c>
    </row>
    <row r="160" spans="1:13">
      <c r="A160" t="s">
        <v>7</v>
      </c>
      <c r="B160" t="s">
        <v>38</v>
      </c>
      <c r="M160" t="s">
        <v>12</v>
      </c>
    </row>
    <row r="161" spans="1:13">
      <c r="A161" s="1" t="s">
        <v>14</v>
      </c>
      <c r="M161" t="s">
        <v>12</v>
      </c>
    </row>
    <row r="162" spans="1:13">
      <c r="A162" s="1" t="s">
        <v>15</v>
      </c>
      <c r="B162" s="1" t="s">
        <v>16</v>
      </c>
      <c r="C162" s="1" t="s">
        <v>1</v>
      </c>
      <c r="D162" s="1" t="s">
        <v>7</v>
      </c>
      <c r="E162" s="1" t="s">
        <v>18</v>
      </c>
      <c r="F162" s="1" t="s">
        <v>5</v>
      </c>
      <c r="G162" s="1" t="s">
        <v>3</v>
      </c>
      <c r="H162" s="1" t="s">
        <v>13</v>
      </c>
      <c r="I162" s="31"/>
    </row>
    <row r="163" spans="1:13">
      <c r="A163" t="str">
        <f>B153</f>
        <v>polyvinylchloride cell frame production, for VRFB system</v>
      </c>
      <c r="B163">
        <v>1</v>
      </c>
      <c r="C163" t="s">
        <v>20</v>
      </c>
      <c r="D163" t="s">
        <v>38</v>
      </c>
      <c r="F163" t="s">
        <v>24</v>
      </c>
      <c r="G163" t="str">
        <f>B158</f>
        <v>polyvinylchloride cell frame, for VRFB system</v>
      </c>
      <c r="I163" s="31"/>
    </row>
    <row r="164" spans="1:13">
      <c r="A164" s="29" t="s">
        <v>1286</v>
      </c>
      <c r="B164" s="29">
        <v>1</v>
      </c>
      <c r="C164" t="s">
        <v>20</v>
      </c>
      <c r="D164" t="s">
        <v>38</v>
      </c>
      <c r="F164" s="29" t="s">
        <v>26</v>
      </c>
      <c r="G164" s="29" t="s">
        <v>1287</v>
      </c>
      <c r="H164" s="29" t="s">
        <v>748</v>
      </c>
      <c r="K164" s="29"/>
      <c r="L164" s="29"/>
    </row>
    <row r="165" spans="1:13">
      <c r="A165" s="29" t="s">
        <v>733</v>
      </c>
      <c r="B165" s="29">
        <v>1</v>
      </c>
      <c r="C165" t="s">
        <v>34</v>
      </c>
      <c r="D165" t="s">
        <v>38</v>
      </c>
      <c r="F165" s="29" t="s">
        <v>26</v>
      </c>
      <c r="G165" s="29" t="s">
        <v>734</v>
      </c>
      <c r="H165" s="29" t="s">
        <v>749</v>
      </c>
      <c r="K165" s="29"/>
      <c r="L165" s="29"/>
    </row>
    <row r="166" spans="1:13">
      <c r="A166" s="29" t="s">
        <v>1253</v>
      </c>
      <c r="B166" s="29">
        <v>0.2</v>
      </c>
      <c r="C166" t="s">
        <v>169</v>
      </c>
      <c r="D166" s="29" t="s">
        <v>35</v>
      </c>
      <c r="F166" s="29" t="s">
        <v>26</v>
      </c>
      <c r="G166" s="29" t="s">
        <v>1254</v>
      </c>
      <c r="H166" s="29" t="s">
        <v>703</v>
      </c>
      <c r="K166" s="29"/>
      <c r="L166" s="29"/>
    </row>
    <row r="167" spans="1:13">
      <c r="A167" s="59" t="s">
        <v>1248</v>
      </c>
      <c r="B167" s="29">
        <v>0.1</v>
      </c>
      <c r="C167" t="s">
        <v>20</v>
      </c>
      <c r="D167" s="29" t="s">
        <v>35</v>
      </c>
      <c r="F167" s="29" t="s">
        <v>26</v>
      </c>
      <c r="G167" s="59" t="s">
        <v>1249</v>
      </c>
      <c r="H167" s="29" t="s">
        <v>702</v>
      </c>
      <c r="K167" s="29"/>
      <c r="L167" s="29"/>
    </row>
    <row r="169" spans="1:13">
      <c r="A169" s="1" t="s">
        <v>0</v>
      </c>
      <c r="B169" s="1" t="s">
        <v>750</v>
      </c>
      <c r="M169" t="s">
        <v>12</v>
      </c>
    </row>
    <row r="170" spans="1:13">
      <c r="A170" t="s">
        <v>1</v>
      </c>
      <c r="B170" t="s">
        <v>20</v>
      </c>
      <c r="M170" t="s">
        <v>12</v>
      </c>
    </row>
    <row r="171" spans="1:13">
      <c r="A171" t="s">
        <v>2</v>
      </c>
      <c r="B171">
        <v>1</v>
      </c>
      <c r="M171" t="s">
        <v>12</v>
      </c>
    </row>
    <row r="172" spans="1:13">
      <c r="A172" t="s">
        <v>13</v>
      </c>
      <c r="B172" t="s">
        <v>751</v>
      </c>
    </row>
    <row r="173" spans="1:13">
      <c r="A173" t="s">
        <v>11</v>
      </c>
      <c r="B173" t="s">
        <v>636</v>
      </c>
    </row>
    <row r="174" spans="1:13">
      <c r="A174" t="s">
        <v>3</v>
      </c>
      <c r="B174" t="s">
        <v>752</v>
      </c>
      <c r="M174" t="s">
        <v>12</v>
      </c>
    </row>
    <row r="175" spans="1:13">
      <c r="A175" t="s">
        <v>5</v>
      </c>
      <c r="B175" t="s">
        <v>6</v>
      </c>
      <c r="M175" t="s">
        <v>12</v>
      </c>
    </row>
    <row r="176" spans="1:13">
      <c r="A176" t="s">
        <v>7</v>
      </c>
      <c r="B176" t="s">
        <v>38</v>
      </c>
      <c r="M176" t="s">
        <v>12</v>
      </c>
    </row>
    <row r="177" spans="1:13">
      <c r="A177" s="1" t="s">
        <v>14</v>
      </c>
      <c r="M177" t="s">
        <v>12</v>
      </c>
    </row>
    <row r="178" spans="1:13">
      <c r="A178" s="1" t="s">
        <v>15</v>
      </c>
      <c r="B178" s="1" t="s">
        <v>16</v>
      </c>
      <c r="C178" s="1" t="s">
        <v>1</v>
      </c>
      <c r="D178" s="1" t="s">
        <v>7</v>
      </c>
      <c r="E178" s="1" t="s">
        <v>18</v>
      </c>
      <c r="F178" s="1" t="s">
        <v>5</v>
      </c>
      <c r="G178" s="1" t="s">
        <v>3</v>
      </c>
      <c r="H178" s="1" t="s">
        <v>13</v>
      </c>
      <c r="I178" s="31"/>
    </row>
    <row r="179" spans="1:13">
      <c r="A179" t="str">
        <f>B169</f>
        <v>gasket production, FKM, for VRFB system</v>
      </c>
      <c r="B179">
        <v>1</v>
      </c>
      <c r="C179" t="s">
        <v>20</v>
      </c>
      <c r="D179" t="s">
        <v>38</v>
      </c>
      <c r="F179" t="s">
        <v>24</v>
      </c>
      <c r="G179" t="str">
        <f>B174</f>
        <v>gasket, FKM</v>
      </c>
    </row>
    <row r="180" spans="1:13">
      <c r="A180" s="29" t="s">
        <v>753</v>
      </c>
      <c r="B180" s="29">
        <v>0.33</v>
      </c>
      <c r="C180" t="s">
        <v>34</v>
      </c>
      <c r="D180" t="s">
        <v>38</v>
      </c>
      <c r="F180" s="29" t="s">
        <v>26</v>
      </c>
      <c r="G180" s="29" t="s">
        <v>754</v>
      </c>
      <c r="H180" s="29" t="s">
        <v>755</v>
      </c>
    </row>
    <row r="181" spans="1:13">
      <c r="A181" s="29" t="s">
        <v>756</v>
      </c>
      <c r="B181" s="29">
        <v>0.33</v>
      </c>
      <c r="C181" t="s">
        <v>34</v>
      </c>
      <c r="D181" t="s">
        <v>38</v>
      </c>
      <c r="F181" s="29" t="s">
        <v>26</v>
      </c>
      <c r="G181" s="29" t="s">
        <v>757</v>
      </c>
      <c r="H181" s="29" t="s">
        <v>758</v>
      </c>
    </row>
    <row r="182" spans="1:13">
      <c r="A182" s="29" t="s">
        <v>759</v>
      </c>
      <c r="B182" s="29">
        <v>0.33</v>
      </c>
      <c r="C182" t="s">
        <v>34</v>
      </c>
      <c r="D182" t="s">
        <v>38</v>
      </c>
      <c r="F182" s="29" t="s">
        <v>26</v>
      </c>
      <c r="G182" s="29" t="s">
        <v>633</v>
      </c>
      <c r="H182" s="29" t="s">
        <v>760</v>
      </c>
    </row>
    <row r="183" spans="1:13">
      <c r="A183" s="29" t="s">
        <v>733</v>
      </c>
      <c r="B183" s="29">
        <v>1</v>
      </c>
      <c r="C183" t="s">
        <v>34</v>
      </c>
      <c r="D183" t="s">
        <v>38</v>
      </c>
      <c r="F183" s="29" t="s">
        <v>26</v>
      </c>
      <c r="G183" s="29" t="s">
        <v>734</v>
      </c>
      <c r="H183" s="29" t="s">
        <v>761</v>
      </c>
    </row>
    <row r="184" spans="1:13">
      <c r="A184" s="59" t="s">
        <v>1253</v>
      </c>
      <c r="B184" s="29">
        <v>0.2</v>
      </c>
      <c r="C184" t="s">
        <v>169</v>
      </c>
      <c r="D184" s="29" t="s">
        <v>35</v>
      </c>
      <c r="F184" s="29" t="s">
        <v>26</v>
      </c>
      <c r="G184" s="59" t="s">
        <v>1254</v>
      </c>
      <c r="H184" s="29" t="s">
        <v>762</v>
      </c>
    </row>
    <row r="185" spans="1:13">
      <c r="A185" s="59" t="s">
        <v>1248</v>
      </c>
      <c r="B185" s="29">
        <v>0.1</v>
      </c>
      <c r="C185" t="s">
        <v>20</v>
      </c>
      <c r="D185" s="29" t="s">
        <v>35</v>
      </c>
      <c r="F185" s="29" t="s">
        <v>26</v>
      </c>
      <c r="G185" s="59" t="s">
        <v>1249</v>
      </c>
      <c r="H185" s="29" t="s">
        <v>702</v>
      </c>
    </row>
    <row r="187" spans="1:13">
      <c r="A187" s="1" t="s">
        <v>0</v>
      </c>
      <c r="B187" s="1" t="s">
        <v>763</v>
      </c>
      <c r="M187" t="s">
        <v>12</v>
      </c>
    </row>
    <row r="188" spans="1:13">
      <c r="A188" t="s">
        <v>1</v>
      </c>
      <c r="B188" t="s">
        <v>20</v>
      </c>
      <c r="M188" t="s">
        <v>12</v>
      </c>
    </row>
    <row r="189" spans="1:13">
      <c r="A189" t="s">
        <v>2</v>
      </c>
      <c r="B189">
        <v>1</v>
      </c>
      <c r="M189" t="s">
        <v>12</v>
      </c>
    </row>
    <row r="190" spans="1:13">
      <c r="A190" t="s">
        <v>13</v>
      </c>
      <c r="B190" t="s">
        <v>751</v>
      </c>
    </row>
    <row r="191" spans="1:13">
      <c r="A191" t="s">
        <v>11</v>
      </c>
      <c r="B191" t="s">
        <v>636</v>
      </c>
    </row>
    <row r="192" spans="1:13">
      <c r="A192" t="s">
        <v>3</v>
      </c>
      <c r="B192" t="s">
        <v>764</v>
      </c>
      <c r="M192" t="s">
        <v>12</v>
      </c>
    </row>
    <row r="193" spans="1:13">
      <c r="A193" t="s">
        <v>5</v>
      </c>
      <c r="B193" t="s">
        <v>6</v>
      </c>
      <c r="M193" t="s">
        <v>12</v>
      </c>
    </row>
    <row r="194" spans="1:13">
      <c r="A194" t="s">
        <v>7</v>
      </c>
      <c r="B194" t="s">
        <v>38</v>
      </c>
      <c r="M194" t="s">
        <v>12</v>
      </c>
    </row>
    <row r="195" spans="1:13">
      <c r="A195" s="1" t="s">
        <v>14</v>
      </c>
      <c r="M195" t="s">
        <v>12</v>
      </c>
    </row>
    <row r="196" spans="1:13">
      <c r="A196" s="1" t="s">
        <v>15</v>
      </c>
      <c r="B196" s="1" t="s">
        <v>16</v>
      </c>
      <c r="C196" s="1" t="s">
        <v>1</v>
      </c>
      <c r="D196" s="1" t="s">
        <v>7</v>
      </c>
      <c r="E196" s="1" t="s">
        <v>18</v>
      </c>
      <c r="F196" s="1" t="s">
        <v>5</v>
      </c>
      <c r="G196" s="1" t="s">
        <v>3</v>
      </c>
      <c r="H196" s="1" t="s">
        <v>13</v>
      </c>
      <c r="I196" s="31"/>
    </row>
    <row r="197" spans="1:13">
      <c r="A197" t="str">
        <f>B187</f>
        <v>copper cable production, for VRFB system</v>
      </c>
      <c r="B197">
        <v>1</v>
      </c>
      <c r="C197" t="s">
        <v>20</v>
      </c>
      <c r="D197" t="s">
        <v>38</v>
      </c>
      <c r="F197" t="s">
        <v>24</v>
      </c>
      <c r="G197" t="str">
        <f>B192</f>
        <v>copper cable, for VRFB system</v>
      </c>
    </row>
    <row r="198" spans="1:13">
      <c r="A198" s="29" t="s">
        <v>623</v>
      </c>
      <c r="B198" s="29">
        <v>1.45</v>
      </c>
      <c r="C198" t="s">
        <v>169</v>
      </c>
      <c r="D198" t="s">
        <v>38</v>
      </c>
      <c r="F198" s="29" t="s">
        <v>26</v>
      </c>
      <c r="G198" s="29" t="s">
        <v>624</v>
      </c>
      <c r="H198" s="29" t="s">
        <v>765</v>
      </c>
    </row>
    <row r="199" spans="1:13">
      <c r="A199" s="29" t="s">
        <v>67</v>
      </c>
      <c r="B199" s="29">
        <v>0.94</v>
      </c>
      <c r="C199" t="s">
        <v>34</v>
      </c>
      <c r="D199" t="s">
        <v>38</v>
      </c>
      <c r="F199" s="29" t="s">
        <v>26</v>
      </c>
      <c r="G199" s="29" t="s">
        <v>68</v>
      </c>
      <c r="H199" s="29" t="s">
        <v>766</v>
      </c>
    </row>
    <row r="200" spans="1:13">
      <c r="A200" s="29" t="s">
        <v>1286</v>
      </c>
      <c r="B200" s="32">
        <v>6.2600000000000003E-2</v>
      </c>
      <c r="C200" t="s">
        <v>20</v>
      </c>
      <c r="D200" t="s">
        <v>38</v>
      </c>
      <c r="F200" s="29" t="s">
        <v>26</v>
      </c>
      <c r="G200" s="29" t="s">
        <v>1287</v>
      </c>
      <c r="H200" s="29" t="s">
        <v>767</v>
      </c>
    </row>
    <row r="201" spans="1:13">
      <c r="A201" s="29" t="s">
        <v>768</v>
      </c>
      <c r="B201" s="29">
        <v>0.94</v>
      </c>
      <c r="C201" t="s">
        <v>34</v>
      </c>
      <c r="D201" t="s">
        <v>38</v>
      </c>
      <c r="F201" s="29" t="s">
        <v>26</v>
      </c>
      <c r="G201" s="29" t="s">
        <v>769</v>
      </c>
      <c r="H201" s="29" t="s">
        <v>770</v>
      </c>
    </row>
    <row r="202" spans="1:13">
      <c r="A202" s="29" t="s">
        <v>733</v>
      </c>
      <c r="B202" s="32">
        <v>6.2600000000000003E-2</v>
      </c>
      <c r="C202" t="s">
        <v>34</v>
      </c>
      <c r="D202" t="s">
        <v>38</v>
      </c>
      <c r="F202" s="29" t="s">
        <v>26</v>
      </c>
      <c r="G202" s="29" t="s">
        <v>734</v>
      </c>
      <c r="H202" s="29" t="s">
        <v>749</v>
      </c>
    </row>
    <row r="203" spans="1:13">
      <c r="A203" s="29" t="s">
        <v>771</v>
      </c>
      <c r="B203" s="32">
        <v>1.7699999999999999E-12</v>
      </c>
      <c r="C203" t="s">
        <v>34</v>
      </c>
      <c r="D203" s="29" t="s">
        <v>7</v>
      </c>
      <c r="F203" s="29" t="s">
        <v>26</v>
      </c>
      <c r="G203" s="29" t="s">
        <v>772</v>
      </c>
      <c r="H203" s="29" t="s">
        <v>650</v>
      </c>
    </row>
    <row r="204" spans="1:13">
      <c r="A204" s="29" t="s">
        <v>1248</v>
      </c>
      <c r="B204" s="32">
        <v>9.3700000000000006E-2</v>
      </c>
      <c r="C204" t="s">
        <v>20</v>
      </c>
      <c r="D204" s="29" t="s">
        <v>35</v>
      </c>
      <c r="F204" s="29" t="s">
        <v>26</v>
      </c>
      <c r="G204" s="29" t="s">
        <v>1249</v>
      </c>
      <c r="H204" s="29" t="s">
        <v>702</v>
      </c>
    </row>
    <row r="205" spans="1:13">
      <c r="A205" s="29" t="s">
        <v>1253</v>
      </c>
      <c r="B205" s="29">
        <v>0.19</v>
      </c>
      <c r="C205" t="s">
        <v>169</v>
      </c>
      <c r="D205" s="29" t="s">
        <v>35</v>
      </c>
      <c r="F205" s="29" t="s">
        <v>26</v>
      </c>
      <c r="G205" s="29" t="s">
        <v>1254</v>
      </c>
      <c r="H205" s="29" t="s">
        <v>703</v>
      </c>
    </row>
    <row r="206" spans="1:13">
      <c r="A206" s="29" t="s">
        <v>628</v>
      </c>
      <c r="B206" s="32">
        <v>-3.1700000000000001E-4</v>
      </c>
      <c r="C206" t="s">
        <v>169</v>
      </c>
      <c r="D206" t="s">
        <v>38</v>
      </c>
      <c r="F206" s="29" t="s">
        <v>26</v>
      </c>
      <c r="G206" s="29" t="s">
        <v>308</v>
      </c>
      <c r="H206" s="29" t="s">
        <v>773</v>
      </c>
    </row>
    <row r="207" spans="1:13">
      <c r="A207" s="29" t="s">
        <v>619</v>
      </c>
      <c r="B207" s="32">
        <v>-3.3700000000000001E-4</v>
      </c>
      <c r="C207" t="s">
        <v>1267</v>
      </c>
      <c r="D207" t="s">
        <v>38</v>
      </c>
      <c r="F207" s="29" t="s">
        <v>26</v>
      </c>
      <c r="G207" s="29" t="s">
        <v>620</v>
      </c>
      <c r="H207" s="29" t="s">
        <v>773</v>
      </c>
    </row>
    <row r="208" spans="1:13">
      <c r="A208" s="29" t="s">
        <v>697</v>
      </c>
      <c r="B208" s="32">
        <f>0.0886/1000</f>
        <v>8.8599999999999999E-5</v>
      </c>
      <c r="D208" t="s">
        <v>119</v>
      </c>
      <c r="E208" t="s">
        <v>127</v>
      </c>
      <c r="F208" s="29" t="s">
        <v>126</v>
      </c>
      <c r="H208" s="29" t="s">
        <v>697</v>
      </c>
    </row>
    <row r="209" spans="1:13">
      <c r="A209" s="29" t="s">
        <v>697</v>
      </c>
      <c r="B209" s="32">
        <v>1.3600000000000001E-3</v>
      </c>
      <c r="D209" s="29" t="s">
        <v>119</v>
      </c>
      <c r="E209" t="s">
        <v>596</v>
      </c>
      <c r="F209" s="29" t="s">
        <v>126</v>
      </c>
      <c r="H209" s="29" t="s">
        <v>697</v>
      </c>
    </row>
    <row r="211" spans="1:13">
      <c r="A211" s="1" t="s">
        <v>0</v>
      </c>
      <c r="B211" s="1" t="s">
        <v>774</v>
      </c>
      <c r="M211" t="s">
        <v>12</v>
      </c>
    </row>
    <row r="212" spans="1:13">
      <c r="A212" t="s">
        <v>1</v>
      </c>
      <c r="B212" t="s">
        <v>20</v>
      </c>
      <c r="M212" t="s">
        <v>12</v>
      </c>
    </row>
    <row r="213" spans="1:13">
      <c r="A213" t="s">
        <v>2</v>
      </c>
      <c r="B213">
        <v>1</v>
      </c>
      <c r="M213" t="s">
        <v>12</v>
      </c>
    </row>
    <row r="214" spans="1:13">
      <c r="A214" t="s">
        <v>13</v>
      </c>
      <c r="B214" t="s">
        <v>775</v>
      </c>
    </row>
    <row r="215" spans="1:13">
      <c r="A215" t="s">
        <v>11</v>
      </c>
      <c r="B215" t="s">
        <v>636</v>
      </c>
    </row>
    <row r="216" spans="1:13">
      <c r="A216" t="s">
        <v>3</v>
      </c>
      <c r="B216" t="s">
        <v>776</v>
      </c>
      <c r="M216" t="s">
        <v>12</v>
      </c>
    </row>
    <row r="217" spans="1:13">
      <c r="A217" t="s">
        <v>5</v>
      </c>
      <c r="B217" t="s">
        <v>6</v>
      </c>
      <c r="M217" t="s">
        <v>12</v>
      </c>
    </row>
    <row r="218" spans="1:13">
      <c r="A218" t="s">
        <v>7</v>
      </c>
      <c r="B218" t="s">
        <v>38</v>
      </c>
      <c r="M218" t="s">
        <v>12</v>
      </c>
    </row>
    <row r="219" spans="1:13">
      <c r="A219" s="1" t="s">
        <v>14</v>
      </c>
      <c r="M219" t="s">
        <v>12</v>
      </c>
    </row>
    <row r="220" spans="1:13">
      <c r="A220" s="1" t="s">
        <v>15</v>
      </c>
      <c r="B220" s="1" t="s">
        <v>16</v>
      </c>
      <c r="C220" s="1" t="s">
        <v>1</v>
      </c>
      <c r="D220" s="1" t="s">
        <v>7</v>
      </c>
      <c r="E220" s="1" t="s">
        <v>18</v>
      </c>
      <c r="F220" s="1" t="s">
        <v>5</v>
      </c>
      <c r="G220" s="1" t="s">
        <v>3</v>
      </c>
      <c r="H220" s="1" t="s">
        <v>13</v>
      </c>
      <c r="I220" s="31"/>
    </row>
    <row r="221" spans="1:13">
      <c r="A221" t="str">
        <f>B211</f>
        <v>pumps assembly, for VRFB system</v>
      </c>
      <c r="B221">
        <v>1</v>
      </c>
      <c r="C221" t="s">
        <v>20</v>
      </c>
      <c r="D221" t="s">
        <v>38</v>
      </c>
      <c r="F221" t="s">
        <v>24</v>
      </c>
      <c r="G221" t="str">
        <f>B216</f>
        <v>pumps, for VRFB system</v>
      </c>
      <c r="I221" s="29"/>
      <c r="J221" s="29"/>
      <c r="K221" s="29"/>
      <c r="L221" s="29"/>
    </row>
    <row r="222" spans="1:13">
      <c r="A222" s="29" t="s">
        <v>44</v>
      </c>
      <c r="B222" s="32">
        <v>8.2500000000000004E-3</v>
      </c>
      <c r="C222" t="s">
        <v>34</v>
      </c>
      <c r="D222" t="s">
        <v>38</v>
      </c>
      <c r="F222" s="29" t="s">
        <v>26</v>
      </c>
      <c r="G222" s="29" t="s">
        <v>45</v>
      </c>
      <c r="H222" s="29" t="s">
        <v>777</v>
      </c>
      <c r="I222" s="29"/>
      <c r="J222" s="29"/>
      <c r="K222" s="29"/>
      <c r="L222" s="29"/>
    </row>
    <row r="223" spans="1:13">
      <c r="A223" s="29" t="s">
        <v>253</v>
      </c>
      <c r="B223" s="29">
        <v>0.49</v>
      </c>
      <c r="C223" t="s">
        <v>34</v>
      </c>
      <c r="D223" t="s">
        <v>38</v>
      </c>
      <c r="F223" s="29" t="s">
        <v>26</v>
      </c>
      <c r="G223" s="29" t="s">
        <v>254</v>
      </c>
      <c r="H223" s="29" t="s">
        <v>778</v>
      </c>
      <c r="I223" s="29"/>
      <c r="J223" s="29"/>
      <c r="K223" s="29"/>
      <c r="L223" s="29"/>
    </row>
    <row r="224" spans="1:13">
      <c r="A224" s="29" t="s">
        <v>67</v>
      </c>
      <c r="B224" s="29">
        <v>0.1</v>
      </c>
      <c r="C224" t="s">
        <v>34</v>
      </c>
      <c r="D224" t="s">
        <v>38</v>
      </c>
      <c r="F224" s="29" t="s">
        <v>26</v>
      </c>
      <c r="G224" s="29" t="s">
        <v>68</v>
      </c>
      <c r="H224" s="29" t="s">
        <v>766</v>
      </c>
      <c r="I224" s="29"/>
      <c r="J224" s="29"/>
      <c r="K224" s="29"/>
      <c r="L224" s="29"/>
    </row>
    <row r="225" spans="1:13">
      <c r="A225" s="60" t="s">
        <v>1286</v>
      </c>
      <c r="B225" s="32">
        <v>1.58E-3</v>
      </c>
      <c r="C225" t="s">
        <v>20</v>
      </c>
      <c r="D225" t="s">
        <v>38</v>
      </c>
      <c r="F225" s="29" t="s">
        <v>26</v>
      </c>
      <c r="G225" s="60" t="s">
        <v>1287</v>
      </c>
      <c r="H225" s="29" t="s">
        <v>767</v>
      </c>
      <c r="I225" s="29"/>
      <c r="J225" s="29"/>
      <c r="K225" s="29"/>
      <c r="L225" s="29"/>
    </row>
    <row r="226" spans="1:13">
      <c r="A226" s="60" t="s">
        <v>1284</v>
      </c>
      <c r="B226" s="32">
        <v>1.0800000000000001E-2</v>
      </c>
      <c r="C226" t="s">
        <v>20</v>
      </c>
      <c r="D226" t="s">
        <v>38</v>
      </c>
      <c r="F226" s="29" t="s">
        <v>26</v>
      </c>
      <c r="G226" s="29" t="s">
        <v>1285</v>
      </c>
      <c r="H226" s="29" t="s">
        <v>767</v>
      </c>
      <c r="I226" s="29"/>
      <c r="J226" s="29"/>
      <c r="K226" s="29"/>
      <c r="L226" s="29"/>
    </row>
    <row r="227" spans="1:13">
      <c r="A227" s="29" t="s">
        <v>779</v>
      </c>
      <c r="B227" s="29">
        <v>0.38</v>
      </c>
      <c r="C227" t="s">
        <v>34</v>
      </c>
      <c r="D227" t="s">
        <v>38</v>
      </c>
      <c r="F227" s="29" t="s">
        <v>26</v>
      </c>
      <c r="G227" s="29" t="s">
        <v>780</v>
      </c>
      <c r="H227" s="29" t="s">
        <v>781</v>
      </c>
      <c r="I227" s="29"/>
      <c r="J227" s="29"/>
      <c r="K227" s="29"/>
      <c r="L227" s="29"/>
    </row>
    <row r="228" spans="1:13">
      <c r="A228" s="29" t="s">
        <v>782</v>
      </c>
      <c r="B228" s="32">
        <v>2.8900000000000002E-3</v>
      </c>
      <c r="C228" t="s">
        <v>34</v>
      </c>
      <c r="D228" t="s">
        <v>38</v>
      </c>
      <c r="F228" s="29" t="s">
        <v>26</v>
      </c>
      <c r="G228" s="29" t="s">
        <v>783</v>
      </c>
      <c r="H228" s="29" t="s">
        <v>784</v>
      </c>
      <c r="I228" s="29"/>
      <c r="J228" s="29"/>
      <c r="K228" s="29"/>
      <c r="L228" s="29"/>
    </row>
    <row r="229" spans="1:13">
      <c r="A229" s="29" t="s">
        <v>785</v>
      </c>
      <c r="B229" s="32">
        <v>1.9999999999999999E-7</v>
      </c>
      <c r="C229" t="s">
        <v>34</v>
      </c>
      <c r="D229" s="29" t="s">
        <v>7</v>
      </c>
      <c r="F229" s="29" t="s">
        <v>26</v>
      </c>
      <c r="G229" s="29" t="s">
        <v>786</v>
      </c>
      <c r="H229" s="29" t="s">
        <v>650</v>
      </c>
      <c r="I229" s="29"/>
      <c r="J229" s="29"/>
      <c r="K229" s="29"/>
      <c r="L229" s="29"/>
    </row>
    <row r="230" spans="1:13">
      <c r="A230" s="29" t="s">
        <v>1248</v>
      </c>
      <c r="B230" s="29">
        <v>0.1</v>
      </c>
      <c r="C230" t="s">
        <v>20</v>
      </c>
      <c r="D230" s="29" t="s">
        <v>35</v>
      </c>
      <c r="F230" s="29" t="s">
        <v>26</v>
      </c>
      <c r="G230" s="29" t="s">
        <v>1249</v>
      </c>
      <c r="H230" s="29" t="s">
        <v>702</v>
      </c>
      <c r="I230" s="29"/>
      <c r="J230" s="29"/>
      <c r="K230" s="29"/>
      <c r="L230" s="29"/>
    </row>
    <row r="231" spans="1:13">
      <c r="A231" s="29" t="s">
        <v>1253</v>
      </c>
      <c r="B231" s="29">
        <v>0.2</v>
      </c>
      <c r="C231" t="s">
        <v>169</v>
      </c>
      <c r="D231" s="29" t="s">
        <v>35</v>
      </c>
      <c r="F231" s="29" t="s">
        <v>26</v>
      </c>
      <c r="G231" s="29" t="s">
        <v>1254</v>
      </c>
      <c r="H231" s="29" t="s">
        <v>703</v>
      </c>
      <c r="I231" s="31"/>
    </row>
    <row r="232" spans="1:13">
      <c r="A232" s="29" t="s">
        <v>619</v>
      </c>
      <c r="B232" s="32">
        <v>-2.8900000000000002E-3</v>
      </c>
      <c r="C232" t="s">
        <v>1267</v>
      </c>
      <c r="D232" t="s">
        <v>38</v>
      </c>
      <c r="F232" s="29" t="s">
        <v>26</v>
      </c>
      <c r="G232" s="29" t="s">
        <v>620</v>
      </c>
      <c r="H232" s="29" t="s">
        <v>773</v>
      </c>
      <c r="I232" s="29"/>
      <c r="J232" s="29"/>
      <c r="K232" s="29"/>
      <c r="L232" s="29"/>
    </row>
    <row r="233" spans="1:13">
      <c r="A233" s="29" t="s">
        <v>787</v>
      </c>
      <c r="B233" s="32">
        <v>-1.24E-2</v>
      </c>
      <c r="C233" t="s">
        <v>169</v>
      </c>
      <c r="D233" t="s">
        <v>38</v>
      </c>
      <c r="F233" s="29" t="s">
        <v>26</v>
      </c>
      <c r="G233" s="29" t="s">
        <v>788</v>
      </c>
      <c r="H233" s="29" t="s">
        <v>773</v>
      </c>
      <c r="I233" s="29"/>
      <c r="J233" s="29"/>
      <c r="K233" s="29"/>
      <c r="L233" s="29"/>
    </row>
    <row r="234" spans="1:13">
      <c r="I234" s="29"/>
      <c r="J234" s="29"/>
      <c r="K234" s="29"/>
      <c r="L234" s="29"/>
    </row>
    <row r="235" spans="1:13">
      <c r="A235" s="1" t="s">
        <v>0</v>
      </c>
      <c r="B235" s="1" t="s">
        <v>789</v>
      </c>
      <c r="M235" t="s">
        <v>12</v>
      </c>
    </row>
    <row r="236" spans="1:13">
      <c r="A236" t="s">
        <v>1</v>
      </c>
      <c r="B236" t="s">
        <v>20</v>
      </c>
      <c r="M236" t="s">
        <v>12</v>
      </c>
    </row>
    <row r="237" spans="1:13">
      <c r="A237" t="s">
        <v>2</v>
      </c>
      <c r="B237">
        <v>1</v>
      </c>
      <c r="M237" t="s">
        <v>12</v>
      </c>
    </row>
    <row r="238" spans="1:13">
      <c r="A238" t="s">
        <v>13</v>
      </c>
      <c r="B238" t="s">
        <v>790</v>
      </c>
    </row>
    <row r="239" spans="1:13">
      <c r="A239" t="s">
        <v>11</v>
      </c>
      <c r="B239" t="s">
        <v>636</v>
      </c>
    </row>
    <row r="240" spans="1:13">
      <c r="A240" t="s">
        <v>3</v>
      </c>
      <c r="B240" t="s">
        <v>791</v>
      </c>
      <c r="M240" t="s">
        <v>12</v>
      </c>
    </row>
    <row r="241" spans="1:13">
      <c r="A241" t="s">
        <v>5</v>
      </c>
      <c r="B241" t="s">
        <v>6</v>
      </c>
      <c r="M241" t="s">
        <v>12</v>
      </c>
    </row>
    <row r="242" spans="1:13">
      <c r="A242" t="s">
        <v>7</v>
      </c>
      <c r="B242" t="s">
        <v>38</v>
      </c>
      <c r="M242" t="s">
        <v>12</v>
      </c>
    </row>
    <row r="243" spans="1:13">
      <c r="A243" s="1" t="s">
        <v>14</v>
      </c>
      <c r="M243" t="s">
        <v>12</v>
      </c>
    </row>
    <row r="244" spans="1:13">
      <c r="A244" s="1" t="s">
        <v>15</v>
      </c>
      <c r="B244" s="1" t="s">
        <v>16</v>
      </c>
      <c r="C244" s="1" t="s">
        <v>1</v>
      </c>
      <c r="D244" s="1" t="s">
        <v>7</v>
      </c>
      <c r="E244" s="1" t="s">
        <v>18</v>
      </c>
      <c r="F244" s="1" t="s">
        <v>5</v>
      </c>
      <c r="G244" s="1" t="s">
        <v>3</v>
      </c>
      <c r="H244" s="1" t="s">
        <v>13</v>
      </c>
      <c r="I244" s="31"/>
    </row>
    <row r="245" spans="1:13">
      <c r="A245" t="str">
        <f>B235</f>
        <v>pipes assembly, for VRFB system</v>
      </c>
      <c r="B245">
        <v>1</v>
      </c>
      <c r="C245" t="s">
        <v>20</v>
      </c>
      <c r="D245" t="s">
        <v>38</v>
      </c>
      <c r="F245" t="s">
        <v>24</v>
      </c>
      <c r="G245" t="str">
        <f>B240</f>
        <v>pipes, for VRFB system</v>
      </c>
      <c r="I245" s="29"/>
      <c r="J245" s="29"/>
      <c r="K245" s="29"/>
      <c r="L245" s="29"/>
    </row>
    <row r="246" spans="1:13">
      <c r="A246" s="29" t="s">
        <v>792</v>
      </c>
      <c r="B246" s="29">
        <v>0.87</v>
      </c>
      <c r="C246" t="s">
        <v>34</v>
      </c>
      <c r="D246" t="s">
        <v>38</v>
      </c>
      <c r="F246" t="s">
        <v>26</v>
      </c>
      <c r="G246" s="29" t="s">
        <v>793</v>
      </c>
      <c r="H246" s="29" t="s">
        <v>794</v>
      </c>
      <c r="I246" s="29"/>
      <c r="J246" s="29"/>
      <c r="K246" s="29"/>
      <c r="L246" s="29"/>
    </row>
    <row r="247" spans="1:13">
      <c r="A247" s="29" t="s">
        <v>795</v>
      </c>
      <c r="B247" s="29">
        <v>0.13</v>
      </c>
      <c r="C247" t="s">
        <v>34</v>
      </c>
      <c r="D247" t="s">
        <v>38</v>
      </c>
      <c r="F247" t="s">
        <v>26</v>
      </c>
      <c r="G247" s="29" t="s">
        <v>796</v>
      </c>
      <c r="H247" s="29" t="s">
        <v>797</v>
      </c>
      <c r="I247" s="29"/>
      <c r="J247" s="29"/>
      <c r="K247" s="29"/>
      <c r="L247" s="29"/>
    </row>
    <row r="248" spans="1:13">
      <c r="A248" s="29" t="s">
        <v>798</v>
      </c>
      <c r="B248" s="29">
        <v>0.87</v>
      </c>
      <c r="C248" t="s">
        <v>34</v>
      </c>
      <c r="D248" t="s">
        <v>38</v>
      </c>
      <c r="F248" t="s">
        <v>26</v>
      </c>
      <c r="G248" s="29" t="s">
        <v>799</v>
      </c>
      <c r="H248" s="29" t="s">
        <v>800</v>
      </c>
      <c r="I248" s="29"/>
      <c r="J248" s="29"/>
      <c r="K248" s="29"/>
      <c r="L248" s="29"/>
    </row>
    <row r="249" spans="1:13">
      <c r="A249" s="29" t="s">
        <v>1248</v>
      </c>
      <c r="B249" s="29">
        <v>0.1</v>
      </c>
      <c r="C249" t="s">
        <v>20</v>
      </c>
      <c r="D249" s="29" t="s">
        <v>35</v>
      </c>
      <c r="F249" t="s">
        <v>26</v>
      </c>
      <c r="G249" s="29" t="s">
        <v>1249</v>
      </c>
      <c r="H249" s="29" t="s">
        <v>702</v>
      </c>
      <c r="I249" s="29"/>
      <c r="J249" s="29"/>
      <c r="K249" s="29"/>
      <c r="L249" s="29"/>
    </row>
    <row r="250" spans="1:13">
      <c r="A250" s="29" t="s">
        <v>1253</v>
      </c>
      <c r="B250" s="29">
        <v>0.2</v>
      </c>
      <c r="C250" t="s">
        <v>169</v>
      </c>
      <c r="D250" s="29" t="s">
        <v>35</v>
      </c>
      <c r="F250" t="s">
        <v>26</v>
      </c>
      <c r="G250" s="29" t="s">
        <v>1254</v>
      </c>
      <c r="H250" s="29" t="s">
        <v>703</v>
      </c>
      <c r="I250" s="31"/>
    </row>
    <row r="251" spans="1:13">
      <c r="I251" s="29"/>
      <c r="J251" s="29"/>
      <c r="K251" s="29"/>
      <c r="L251" s="29"/>
    </row>
    <row r="252" spans="1:13">
      <c r="A252" s="1" t="s">
        <v>0</v>
      </c>
      <c r="B252" s="1" t="s">
        <v>801</v>
      </c>
      <c r="M252" t="s">
        <v>12</v>
      </c>
    </row>
    <row r="253" spans="1:13">
      <c r="A253" t="s">
        <v>1</v>
      </c>
      <c r="B253" t="s">
        <v>20</v>
      </c>
      <c r="M253" t="s">
        <v>12</v>
      </c>
    </row>
    <row r="254" spans="1:13">
      <c r="A254" t="s">
        <v>2</v>
      </c>
      <c r="B254">
        <v>1</v>
      </c>
      <c r="M254" t="s">
        <v>12</v>
      </c>
    </row>
    <row r="255" spans="1:13">
      <c r="A255" t="s">
        <v>13</v>
      </c>
      <c r="B255" t="s">
        <v>802</v>
      </c>
    </row>
    <row r="256" spans="1:13">
      <c r="A256" t="s">
        <v>11</v>
      </c>
      <c r="B256" t="s">
        <v>636</v>
      </c>
    </row>
    <row r="257" spans="1:13">
      <c r="A257" t="s">
        <v>3</v>
      </c>
      <c r="B257" t="s">
        <v>803</v>
      </c>
      <c r="M257" t="s">
        <v>12</v>
      </c>
    </row>
    <row r="258" spans="1:13">
      <c r="A258" t="s">
        <v>5</v>
      </c>
      <c r="B258" t="s">
        <v>6</v>
      </c>
      <c r="M258" t="s">
        <v>12</v>
      </c>
    </row>
    <row r="259" spans="1:13">
      <c r="A259" t="s">
        <v>7</v>
      </c>
      <c r="B259" t="s">
        <v>38</v>
      </c>
      <c r="M259" t="s">
        <v>12</v>
      </c>
    </row>
    <row r="260" spans="1:13">
      <c r="A260" s="1" t="s">
        <v>14</v>
      </c>
      <c r="M260" t="s">
        <v>12</v>
      </c>
    </row>
    <row r="261" spans="1:13">
      <c r="A261" s="1" t="s">
        <v>15</v>
      </c>
      <c r="B261" s="1" t="s">
        <v>16</v>
      </c>
      <c r="C261" s="1" t="s">
        <v>1</v>
      </c>
      <c r="D261" s="1" t="s">
        <v>7</v>
      </c>
      <c r="E261" s="1" t="s">
        <v>18</v>
      </c>
      <c r="F261" s="1" t="s">
        <v>5</v>
      </c>
      <c r="G261" s="1" t="s">
        <v>3</v>
      </c>
      <c r="H261" s="1" t="s">
        <v>13</v>
      </c>
      <c r="I261" s="31"/>
    </row>
    <row r="262" spans="1:13">
      <c r="A262" t="str">
        <f>B252</f>
        <v>heat exchanger production, for VRFB system</v>
      </c>
      <c r="B262">
        <v>1</v>
      </c>
      <c r="C262" t="s">
        <v>20</v>
      </c>
      <c r="D262" t="s">
        <v>38</v>
      </c>
      <c r="F262" t="s">
        <v>24</v>
      </c>
      <c r="G262" t="str">
        <f>B257</f>
        <v>heat exchanger, for VRFB system</v>
      </c>
      <c r="I262" s="29"/>
      <c r="J262" s="29"/>
      <c r="K262" s="29"/>
      <c r="L262" s="29"/>
    </row>
    <row r="263" spans="1:13">
      <c r="A263" s="29" t="s">
        <v>139</v>
      </c>
      <c r="B263" s="29">
        <v>1</v>
      </c>
      <c r="C263" t="s">
        <v>34</v>
      </c>
      <c r="D263" t="s">
        <v>38</v>
      </c>
      <c r="F263" t="s">
        <v>26</v>
      </c>
      <c r="G263" s="29" t="s">
        <v>140</v>
      </c>
      <c r="H263" s="29" t="s">
        <v>781</v>
      </c>
    </row>
    <row r="264" spans="1:13">
      <c r="A264" s="29" t="s">
        <v>342</v>
      </c>
      <c r="B264" s="29">
        <v>1</v>
      </c>
      <c r="C264" t="s">
        <v>34</v>
      </c>
      <c r="D264" t="s">
        <v>38</v>
      </c>
      <c r="F264" t="s">
        <v>26</v>
      </c>
      <c r="G264" s="29" t="s">
        <v>343</v>
      </c>
      <c r="H264" s="29" t="s">
        <v>804</v>
      </c>
    </row>
    <row r="265" spans="1:13">
      <c r="A265" s="29" t="s">
        <v>368</v>
      </c>
      <c r="B265" s="29">
        <f>0.27/3.6</f>
        <v>7.4999999999999997E-2</v>
      </c>
      <c r="C265" s="33" t="s">
        <v>20</v>
      </c>
      <c r="D265" s="29" t="s">
        <v>8</v>
      </c>
      <c r="F265" t="s">
        <v>26</v>
      </c>
      <c r="G265" s="29" t="s">
        <v>366</v>
      </c>
      <c r="H265" s="29" t="s">
        <v>701</v>
      </c>
    </row>
    <row r="266" spans="1:13">
      <c r="A266" s="29" t="s">
        <v>651</v>
      </c>
      <c r="B266" s="29">
        <v>0.54</v>
      </c>
      <c r="C266" t="s">
        <v>169</v>
      </c>
      <c r="D266" s="29" t="s">
        <v>33</v>
      </c>
      <c r="F266" t="s">
        <v>26</v>
      </c>
      <c r="G266" s="29" t="s">
        <v>493</v>
      </c>
      <c r="H266" s="29" t="s">
        <v>700</v>
      </c>
    </row>
    <row r="267" spans="1:13">
      <c r="A267" s="29" t="s">
        <v>1248</v>
      </c>
      <c r="B267" s="29">
        <v>0.05</v>
      </c>
      <c r="C267" t="s">
        <v>20</v>
      </c>
      <c r="D267" s="29" t="s">
        <v>35</v>
      </c>
      <c r="F267" t="s">
        <v>26</v>
      </c>
      <c r="G267" s="29" t="s">
        <v>1249</v>
      </c>
      <c r="H267" s="29" t="s">
        <v>702</v>
      </c>
    </row>
    <row r="268" spans="1:13">
      <c r="A268" s="29" t="s">
        <v>1253</v>
      </c>
      <c r="B268" s="29">
        <v>1.1599999999999999</v>
      </c>
      <c r="C268" t="s">
        <v>169</v>
      </c>
      <c r="D268" s="29" t="s">
        <v>35</v>
      </c>
      <c r="F268" t="s">
        <v>26</v>
      </c>
      <c r="G268" s="29" t="s">
        <v>1254</v>
      </c>
      <c r="H268" s="29" t="s">
        <v>703</v>
      </c>
    </row>
    <row r="270" spans="1:13">
      <c r="A270" s="1" t="s">
        <v>0</v>
      </c>
      <c r="B270" s="1" t="s">
        <v>805</v>
      </c>
      <c r="M270" t="s">
        <v>12</v>
      </c>
    </row>
    <row r="271" spans="1:13">
      <c r="A271" t="s">
        <v>1</v>
      </c>
      <c r="B271" t="s">
        <v>20</v>
      </c>
      <c r="M271" t="s">
        <v>12</v>
      </c>
    </row>
    <row r="272" spans="1:13">
      <c r="A272" t="s">
        <v>2</v>
      </c>
      <c r="B272">
        <v>1</v>
      </c>
      <c r="M272" t="s">
        <v>12</v>
      </c>
    </row>
    <row r="273" spans="1:13">
      <c r="A273" t="s">
        <v>13</v>
      </c>
      <c r="B273" t="s">
        <v>806</v>
      </c>
    </row>
    <row r="274" spans="1:13">
      <c r="A274" t="s">
        <v>11</v>
      </c>
      <c r="B274" t="s">
        <v>636</v>
      </c>
    </row>
    <row r="275" spans="1:13">
      <c r="A275" t="s">
        <v>3</v>
      </c>
      <c r="B275" t="s">
        <v>807</v>
      </c>
      <c r="M275" t="s">
        <v>12</v>
      </c>
    </row>
    <row r="276" spans="1:13">
      <c r="A276" t="s">
        <v>5</v>
      </c>
      <c r="B276" t="s">
        <v>6</v>
      </c>
      <c r="M276" t="s">
        <v>12</v>
      </c>
    </row>
    <row r="277" spans="1:13">
      <c r="A277" t="s">
        <v>7</v>
      </c>
      <c r="B277" t="s">
        <v>38</v>
      </c>
      <c r="M277" t="s">
        <v>12</v>
      </c>
    </row>
    <row r="278" spans="1:13">
      <c r="A278" s="1" t="s">
        <v>14</v>
      </c>
      <c r="M278" t="s">
        <v>12</v>
      </c>
    </row>
    <row r="279" spans="1:13">
      <c r="A279" s="1" t="s">
        <v>15</v>
      </c>
      <c r="B279" s="1" t="s">
        <v>16</v>
      </c>
      <c r="C279" s="1" t="s">
        <v>1</v>
      </c>
      <c r="D279" s="1" t="s">
        <v>7</v>
      </c>
      <c r="E279" s="1" t="s">
        <v>18</v>
      </c>
      <c r="F279" s="1" t="s">
        <v>5</v>
      </c>
      <c r="G279" s="1" t="s">
        <v>3</v>
      </c>
      <c r="H279" s="1" t="s">
        <v>13</v>
      </c>
      <c r="I279" s="31"/>
    </row>
    <row r="280" spans="1:13">
      <c r="A280" t="str">
        <f>B270</f>
        <v>stack monitoring interface assembly, for VRFB system</v>
      </c>
      <c r="B280">
        <v>1</v>
      </c>
      <c r="C280" t="s">
        <v>20</v>
      </c>
      <c r="D280" t="s">
        <v>38</v>
      </c>
      <c r="F280" t="s">
        <v>24</v>
      </c>
      <c r="G280" t="str">
        <f>B275</f>
        <v>stack monitoring interface, for VRFB system</v>
      </c>
      <c r="I280" s="29"/>
      <c r="J280" s="29"/>
      <c r="K280" s="29"/>
      <c r="L280" s="29"/>
    </row>
    <row r="281" spans="1:13">
      <c r="A281" s="29" t="s">
        <v>39</v>
      </c>
      <c r="B281" s="29">
        <v>0.77</v>
      </c>
      <c r="C281" t="s">
        <v>34</v>
      </c>
      <c r="D281" t="s">
        <v>38</v>
      </c>
      <c r="F281" s="29" t="s">
        <v>26</v>
      </c>
      <c r="G281" s="29" t="s">
        <v>40</v>
      </c>
      <c r="H281" s="29" t="s">
        <v>808</v>
      </c>
    </row>
    <row r="282" spans="1:13">
      <c r="A282" s="29" t="s">
        <v>809</v>
      </c>
      <c r="B282" s="29">
        <v>0.15</v>
      </c>
      <c r="C282" t="s">
        <v>34</v>
      </c>
      <c r="D282" t="s">
        <v>38</v>
      </c>
      <c r="F282" s="29" t="s">
        <v>26</v>
      </c>
      <c r="G282" s="29" t="s">
        <v>810</v>
      </c>
      <c r="H282" s="29" t="s">
        <v>811</v>
      </c>
    </row>
    <row r="283" spans="1:13">
      <c r="A283" s="29" t="s">
        <v>812</v>
      </c>
      <c r="B283" s="32">
        <v>1.9300000000000001E-2</v>
      </c>
      <c r="C283" t="s">
        <v>34</v>
      </c>
      <c r="D283" t="s">
        <v>38</v>
      </c>
      <c r="F283" s="29" t="s">
        <v>26</v>
      </c>
      <c r="G283" s="29" t="s">
        <v>813</v>
      </c>
      <c r="H283" s="29" t="s">
        <v>814</v>
      </c>
    </row>
    <row r="284" spans="1:13">
      <c r="A284" s="29" t="s">
        <v>815</v>
      </c>
      <c r="B284" s="29">
        <v>0.33</v>
      </c>
      <c r="C284" t="s">
        <v>34</v>
      </c>
      <c r="D284" s="29" t="s">
        <v>131</v>
      </c>
      <c r="F284" s="29" t="s">
        <v>26</v>
      </c>
      <c r="G284" s="29" t="s">
        <v>816</v>
      </c>
      <c r="H284" s="29" t="s">
        <v>817</v>
      </c>
    </row>
    <row r="285" spans="1:13">
      <c r="A285" s="29" t="s">
        <v>80</v>
      </c>
      <c r="B285" s="32">
        <v>0.05</v>
      </c>
      <c r="C285" t="s">
        <v>34</v>
      </c>
      <c r="D285" t="s">
        <v>38</v>
      </c>
      <c r="F285" s="29" t="s">
        <v>26</v>
      </c>
      <c r="G285" s="29" t="s">
        <v>81</v>
      </c>
      <c r="H285" s="29" t="s">
        <v>818</v>
      </c>
    </row>
    <row r="286" spans="1:13">
      <c r="A286" s="29" t="s">
        <v>819</v>
      </c>
      <c r="B286" s="29">
        <v>0.77</v>
      </c>
      <c r="C286" t="s">
        <v>34</v>
      </c>
      <c r="D286" t="s">
        <v>38</v>
      </c>
      <c r="F286" s="29" t="s">
        <v>26</v>
      </c>
      <c r="G286" s="29" t="s">
        <v>820</v>
      </c>
      <c r="H286" s="29" t="s">
        <v>821</v>
      </c>
    </row>
    <row r="287" spans="1:13">
      <c r="A287" s="29" t="s">
        <v>822</v>
      </c>
      <c r="B287" s="32">
        <v>0.05</v>
      </c>
      <c r="C287" t="s">
        <v>34</v>
      </c>
      <c r="D287" t="s">
        <v>38</v>
      </c>
      <c r="F287" s="29" t="s">
        <v>26</v>
      </c>
      <c r="G287" s="29" t="s">
        <v>823</v>
      </c>
      <c r="H287" s="29" t="s">
        <v>824</v>
      </c>
    </row>
    <row r="288" spans="1:13">
      <c r="A288" s="29" t="s">
        <v>1248</v>
      </c>
      <c r="B288" s="29">
        <v>0.1</v>
      </c>
      <c r="C288" t="s">
        <v>20</v>
      </c>
      <c r="D288" s="29" t="s">
        <v>35</v>
      </c>
      <c r="F288" s="29" t="s">
        <v>26</v>
      </c>
      <c r="G288" s="29" t="s">
        <v>1249</v>
      </c>
      <c r="H288" s="29" t="s">
        <v>702</v>
      </c>
    </row>
    <row r="289" spans="1:13">
      <c r="A289" s="29" t="s">
        <v>1253</v>
      </c>
      <c r="B289" s="29">
        <v>0.6</v>
      </c>
      <c r="C289" t="s">
        <v>169</v>
      </c>
      <c r="D289" s="29" t="s">
        <v>35</v>
      </c>
      <c r="F289" s="29" t="s">
        <v>26</v>
      </c>
      <c r="G289" s="29" t="s">
        <v>1254</v>
      </c>
      <c r="H289" s="29" t="s">
        <v>703</v>
      </c>
    </row>
    <row r="290" spans="1:13">
      <c r="H290" s="31"/>
    </row>
    <row r="291" spans="1:13">
      <c r="A291" s="1" t="s">
        <v>0</v>
      </c>
      <c r="B291" s="1" t="s">
        <v>825</v>
      </c>
      <c r="M291" t="s">
        <v>12</v>
      </c>
    </row>
    <row r="292" spans="1:13">
      <c r="A292" t="s">
        <v>1</v>
      </c>
      <c r="B292" t="s">
        <v>20</v>
      </c>
      <c r="M292" t="s">
        <v>12</v>
      </c>
    </row>
    <row r="293" spans="1:13">
      <c r="A293" t="s">
        <v>2</v>
      </c>
      <c r="B293">
        <v>1</v>
      </c>
      <c r="M293" t="s">
        <v>12</v>
      </c>
    </row>
    <row r="294" spans="1:13">
      <c r="A294" t="s">
        <v>13</v>
      </c>
      <c r="B294" t="s">
        <v>806</v>
      </c>
    </row>
    <row r="295" spans="1:13">
      <c r="A295" t="s">
        <v>11</v>
      </c>
      <c r="B295" t="s">
        <v>636</v>
      </c>
    </row>
    <row r="296" spans="1:13">
      <c r="A296" t="s">
        <v>3</v>
      </c>
      <c r="B296" t="s">
        <v>826</v>
      </c>
      <c r="M296" t="s">
        <v>12</v>
      </c>
    </row>
    <row r="297" spans="1:13">
      <c r="A297" t="s">
        <v>5</v>
      </c>
      <c r="B297" t="s">
        <v>6</v>
      </c>
      <c r="M297" t="s">
        <v>12</v>
      </c>
    </row>
    <row r="298" spans="1:13">
      <c r="A298" t="s">
        <v>7</v>
      </c>
      <c r="B298" t="s">
        <v>38</v>
      </c>
      <c r="M298" t="s">
        <v>12</v>
      </c>
    </row>
    <row r="299" spans="1:13">
      <c r="A299" s="1" t="s">
        <v>14</v>
      </c>
      <c r="M299" t="s">
        <v>12</v>
      </c>
    </row>
    <row r="300" spans="1:13">
      <c r="A300" s="1" t="s">
        <v>15</v>
      </c>
      <c r="B300" s="1" t="s">
        <v>16</v>
      </c>
      <c r="C300" s="1" t="s">
        <v>1</v>
      </c>
      <c r="D300" s="1" t="s">
        <v>7</v>
      </c>
      <c r="E300" s="1" t="s">
        <v>18</v>
      </c>
      <c r="F300" s="1" t="s">
        <v>5</v>
      </c>
      <c r="G300" s="1" t="s">
        <v>3</v>
      </c>
      <c r="H300" s="1" t="s">
        <v>13</v>
      </c>
      <c r="I300" s="31"/>
    </row>
    <row r="301" spans="1:13">
      <c r="A301" t="str">
        <f>B291</f>
        <v>battery management system assembly, for VRFB system</v>
      </c>
      <c r="B301">
        <v>1</v>
      </c>
      <c r="C301" t="s">
        <v>20</v>
      </c>
      <c r="D301" t="s">
        <v>38</v>
      </c>
      <c r="F301" t="s">
        <v>24</v>
      </c>
      <c r="G301" t="str">
        <f>B296</f>
        <v>battery management system, for VRFB system</v>
      </c>
      <c r="I301" s="29"/>
      <c r="J301" s="29"/>
      <c r="K301" s="29"/>
      <c r="L301" s="29"/>
    </row>
    <row r="302" spans="1:13">
      <c r="A302" s="29" t="s">
        <v>80</v>
      </c>
      <c r="B302" s="29">
        <v>0.18</v>
      </c>
      <c r="C302" t="s">
        <v>34</v>
      </c>
      <c r="D302" t="s">
        <v>38</v>
      </c>
      <c r="F302" s="29" t="s">
        <v>26</v>
      </c>
      <c r="G302" s="29" t="s">
        <v>81</v>
      </c>
      <c r="H302" s="29" t="s">
        <v>827</v>
      </c>
    </row>
    <row r="303" spans="1:13">
      <c r="A303" s="29" t="s">
        <v>822</v>
      </c>
      <c r="B303" s="29">
        <v>0.18</v>
      </c>
      <c r="C303" t="s">
        <v>34</v>
      </c>
      <c r="D303" t="s">
        <v>38</v>
      </c>
      <c r="F303" s="29" t="s">
        <v>26</v>
      </c>
      <c r="G303" s="29" t="s">
        <v>823</v>
      </c>
      <c r="H303" s="29" t="s">
        <v>828</v>
      </c>
    </row>
    <row r="304" spans="1:13">
      <c r="A304" s="29" t="s">
        <v>829</v>
      </c>
      <c r="B304" s="29">
        <v>0.68</v>
      </c>
      <c r="C304" t="s">
        <v>34</v>
      </c>
      <c r="D304" t="s">
        <v>38</v>
      </c>
      <c r="F304" s="29" t="s">
        <v>26</v>
      </c>
      <c r="G304" s="29" t="s">
        <v>830</v>
      </c>
      <c r="H304" s="29" t="s">
        <v>831</v>
      </c>
    </row>
    <row r="305" spans="1:13">
      <c r="A305" s="29" t="s">
        <v>181</v>
      </c>
      <c r="B305" s="29">
        <v>0.32</v>
      </c>
      <c r="C305" t="s">
        <v>34</v>
      </c>
      <c r="D305" t="s">
        <v>38</v>
      </c>
      <c r="F305" s="29" t="s">
        <v>26</v>
      </c>
      <c r="G305" s="29" t="s">
        <v>182</v>
      </c>
      <c r="H305" s="29" t="s">
        <v>832</v>
      </c>
    </row>
    <row r="306" spans="1:13">
      <c r="A306" s="29" t="s">
        <v>1248</v>
      </c>
      <c r="B306" s="29">
        <v>0.1</v>
      </c>
      <c r="C306" t="s">
        <v>20</v>
      </c>
      <c r="D306" s="29" t="s">
        <v>35</v>
      </c>
      <c r="F306" s="29" t="s">
        <v>26</v>
      </c>
      <c r="G306" s="29" t="s">
        <v>1249</v>
      </c>
      <c r="H306" s="29" t="s">
        <v>702</v>
      </c>
    </row>
    <row r="307" spans="1:13">
      <c r="A307" s="29" t="s">
        <v>1253</v>
      </c>
      <c r="B307" s="29">
        <v>0.6</v>
      </c>
      <c r="C307" t="s">
        <v>169</v>
      </c>
      <c r="D307" s="29" t="s">
        <v>35</v>
      </c>
      <c r="F307" s="29" t="s">
        <v>26</v>
      </c>
      <c r="G307" s="29" t="s">
        <v>1254</v>
      </c>
      <c r="H307" s="29" t="s">
        <v>703</v>
      </c>
    </row>
    <row r="309" spans="1:13">
      <c r="A309" s="1" t="s">
        <v>0</v>
      </c>
      <c r="B309" s="1" t="s">
        <v>833</v>
      </c>
      <c r="M309" t="s">
        <v>12</v>
      </c>
    </row>
    <row r="310" spans="1:13">
      <c r="A310" t="s">
        <v>1</v>
      </c>
      <c r="B310" t="s">
        <v>20</v>
      </c>
      <c r="M310" t="s">
        <v>12</v>
      </c>
    </row>
    <row r="311" spans="1:13">
      <c r="A311" t="s">
        <v>2</v>
      </c>
      <c r="B311">
        <v>1</v>
      </c>
      <c r="M311" t="s">
        <v>12</v>
      </c>
    </row>
    <row r="312" spans="1:13">
      <c r="A312" t="s">
        <v>13</v>
      </c>
      <c r="B312" t="s">
        <v>806</v>
      </c>
    </row>
    <row r="313" spans="1:13">
      <c r="A313" t="s">
        <v>11</v>
      </c>
      <c r="B313" t="s">
        <v>636</v>
      </c>
    </row>
    <row r="314" spans="1:13">
      <c r="A314" t="s">
        <v>3</v>
      </c>
      <c r="B314" t="s">
        <v>834</v>
      </c>
      <c r="M314" t="s">
        <v>12</v>
      </c>
    </row>
    <row r="315" spans="1:13">
      <c r="A315" t="s">
        <v>5</v>
      </c>
      <c r="B315" t="s">
        <v>6</v>
      </c>
      <c r="M315" t="s">
        <v>12</v>
      </c>
    </row>
    <row r="316" spans="1:13">
      <c r="A316" t="s">
        <v>7</v>
      </c>
      <c r="B316" t="s">
        <v>38</v>
      </c>
      <c r="M316" t="s">
        <v>12</v>
      </c>
    </row>
    <row r="317" spans="1:13">
      <c r="A317" s="1" t="s">
        <v>14</v>
      </c>
      <c r="M317" t="s">
        <v>12</v>
      </c>
    </row>
    <row r="318" spans="1:13">
      <c r="A318" s="1" t="s">
        <v>15</v>
      </c>
      <c r="B318" s="1" t="s">
        <v>16</v>
      </c>
      <c r="C318" s="1" t="s">
        <v>1</v>
      </c>
      <c r="D318" s="1" t="s">
        <v>7</v>
      </c>
      <c r="E318" s="1" t="s">
        <v>18</v>
      </c>
      <c r="F318" s="1" t="s">
        <v>5</v>
      </c>
      <c r="G318" s="1" t="s">
        <v>3</v>
      </c>
      <c r="H318" s="1" t="s">
        <v>13</v>
      </c>
      <c r="I318" s="31"/>
    </row>
    <row r="319" spans="1:13">
      <c r="A319" t="str">
        <f>B309</f>
        <v>process control system assembly, for VRFB system</v>
      </c>
      <c r="B319">
        <v>1</v>
      </c>
      <c r="C319" t="s">
        <v>20</v>
      </c>
      <c r="D319" t="s">
        <v>38</v>
      </c>
      <c r="F319" t="s">
        <v>24</v>
      </c>
      <c r="G319" t="str">
        <f>B314</f>
        <v>process control system, for VRFB system</v>
      </c>
      <c r="I319" s="29"/>
      <c r="J319" s="29"/>
      <c r="K319" s="29"/>
      <c r="L319" s="29"/>
    </row>
    <row r="320" spans="1:13">
      <c r="A320" t="s">
        <v>805</v>
      </c>
      <c r="B320" s="29">
        <v>0.91</v>
      </c>
      <c r="C320" t="s">
        <v>20</v>
      </c>
      <c r="D320" t="s">
        <v>38</v>
      </c>
      <c r="F320" t="s">
        <v>26</v>
      </c>
      <c r="G320" t="s">
        <v>807</v>
      </c>
      <c r="H320" s="29" t="s">
        <v>835</v>
      </c>
      <c r="L320" s="29"/>
    </row>
    <row r="321" spans="1:13">
      <c r="A321" t="s">
        <v>825</v>
      </c>
      <c r="B321" s="29">
        <v>0.09</v>
      </c>
      <c r="C321" t="s">
        <v>20</v>
      </c>
      <c r="D321" t="s">
        <v>38</v>
      </c>
      <c r="F321" t="s">
        <v>26</v>
      </c>
      <c r="G321" t="s">
        <v>826</v>
      </c>
      <c r="H321" s="29" t="s">
        <v>836</v>
      </c>
      <c r="L321" s="29"/>
    </row>
    <row r="323" spans="1:13">
      <c r="A323" s="1" t="s">
        <v>0</v>
      </c>
      <c r="B323" s="1" t="s">
        <v>837</v>
      </c>
      <c r="M323" t="s">
        <v>12</v>
      </c>
    </row>
    <row r="324" spans="1:13">
      <c r="A324" t="s">
        <v>1</v>
      </c>
      <c r="B324" t="s">
        <v>20</v>
      </c>
      <c r="M324" t="s">
        <v>12</v>
      </c>
    </row>
    <row r="325" spans="1:13">
      <c r="A325" t="s">
        <v>2</v>
      </c>
      <c r="B325">
        <v>1</v>
      </c>
      <c r="M325" t="s">
        <v>12</v>
      </c>
    </row>
    <row r="326" spans="1:13">
      <c r="A326" t="s">
        <v>11</v>
      </c>
      <c r="B326" t="s">
        <v>636</v>
      </c>
    </row>
    <row r="327" spans="1:13">
      <c r="A327" t="s">
        <v>3</v>
      </c>
      <c r="B327" t="s">
        <v>838</v>
      </c>
      <c r="M327" t="s">
        <v>12</v>
      </c>
    </row>
    <row r="328" spans="1:13">
      <c r="A328" t="s">
        <v>5</v>
      </c>
      <c r="B328" t="s">
        <v>6</v>
      </c>
      <c r="M328" t="s">
        <v>12</v>
      </c>
    </row>
    <row r="329" spans="1:13">
      <c r="A329" t="s">
        <v>7</v>
      </c>
      <c r="B329" t="s">
        <v>38</v>
      </c>
      <c r="M329" t="s">
        <v>12</v>
      </c>
    </row>
    <row r="330" spans="1:13">
      <c r="A330" s="1" t="s">
        <v>14</v>
      </c>
      <c r="M330" t="s">
        <v>12</v>
      </c>
    </row>
    <row r="331" spans="1:13">
      <c r="A331" s="1" t="s">
        <v>15</v>
      </c>
      <c r="B331" s="1" t="s">
        <v>16</v>
      </c>
      <c r="C331" s="1" t="s">
        <v>1</v>
      </c>
      <c r="D331" s="1" t="s">
        <v>7</v>
      </c>
      <c r="E331" s="1" t="s">
        <v>18</v>
      </c>
      <c r="F331" s="1" t="s">
        <v>5</v>
      </c>
      <c r="G331" s="1" t="s">
        <v>3</v>
      </c>
      <c r="H331" s="1" t="s">
        <v>13</v>
      </c>
      <c r="I331" s="31"/>
    </row>
    <row r="332" spans="1:13">
      <c r="A332" t="str">
        <f>B323</f>
        <v>treatment of stack, for VRFB system</v>
      </c>
      <c r="B332">
        <v>-1</v>
      </c>
      <c r="C332" t="s">
        <v>20</v>
      </c>
      <c r="D332" t="s">
        <v>38</v>
      </c>
      <c r="F332" t="s">
        <v>24</v>
      </c>
      <c r="G332" t="str">
        <f>B327</f>
        <v>used stack, for VRFB system</v>
      </c>
      <c r="I332" s="29"/>
      <c r="J332" s="29"/>
      <c r="K332" s="29"/>
      <c r="L332" s="29"/>
    </row>
    <row r="333" spans="1:13">
      <c r="A333" t="s">
        <v>839</v>
      </c>
      <c r="B333" s="5">
        <v>-8.3799999999999999E-2</v>
      </c>
      <c r="C333" t="s">
        <v>155</v>
      </c>
      <c r="D333" t="s">
        <v>38</v>
      </c>
      <c r="F333" t="s">
        <v>26</v>
      </c>
      <c r="G333" t="s">
        <v>632</v>
      </c>
    </row>
    <row r="334" spans="1:13">
      <c r="A334" t="s">
        <v>840</v>
      </c>
      <c r="B334">
        <v>-0.56000000000000005</v>
      </c>
      <c r="C334" t="s">
        <v>169</v>
      </c>
      <c r="D334" t="s">
        <v>38</v>
      </c>
      <c r="F334" t="s">
        <v>26</v>
      </c>
      <c r="G334" t="s">
        <v>620</v>
      </c>
    </row>
    <row r="335" spans="1:13">
      <c r="A335" t="s">
        <v>841</v>
      </c>
      <c r="B335">
        <v>-0.13</v>
      </c>
      <c r="C335" t="s">
        <v>34</v>
      </c>
      <c r="D335" t="s">
        <v>38</v>
      </c>
      <c r="F335" t="s">
        <v>26</v>
      </c>
      <c r="G335" t="s">
        <v>842</v>
      </c>
    </row>
    <row r="336" spans="1:13">
      <c r="A336" t="s">
        <v>843</v>
      </c>
      <c r="B336">
        <v>-0.2</v>
      </c>
      <c r="C336" t="s">
        <v>34</v>
      </c>
      <c r="D336" t="s">
        <v>38</v>
      </c>
      <c r="F336" t="s">
        <v>26</v>
      </c>
      <c r="G336" t="s">
        <v>844</v>
      </c>
    </row>
    <row r="337" spans="1:13">
      <c r="A337" t="s">
        <v>1290</v>
      </c>
      <c r="B337" s="5">
        <v>-3.39E-2</v>
      </c>
      <c r="C337" t="s">
        <v>155</v>
      </c>
      <c r="D337" t="s">
        <v>38</v>
      </c>
      <c r="F337" t="s">
        <v>26</v>
      </c>
      <c r="G337" t="s">
        <v>531</v>
      </c>
    </row>
    <row r="338" spans="1:13">
      <c r="A338" t="s">
        <v>25</v>
      </c>
      <c r="B338">
        <v>0.01</v>
      </c>
      <c r="C338" t="s">
        <v>20</v>
      </c>
      <c r="D338" t="s">
        <v>8</v>
      </c>
      <c r="F338" t="s">
        <v>26</v>
      </c>
      <c r="G338" t="s">
        <v>4</v>
      </c>
    </row>
    <row r="339" spans="1:13">
      <c r="A339" t="s">
        <v>31</v>
      </c>
      <c r="B339">
        <v>0.1</v>
      </c>
      <c r="C339" t="s">
        <v>34</v>
      </c>
      <c r="D339" t="s">
        <v>33</v>
      </c>
      <c r="F339" t="s">
        <v>26</v>
      </c>
      <c r="G339" t="s">
        <v>32</v>
      </c>
    </row>
    <row r="341" spans="1:13">
      <c r="A341" s="1" t="s">
        <v>0</v>
      </c>
      <c r="B341" s="1" t="s">
        <v>845</v>
      </c>
      <c r="M341" t="s">
        <v>12</v>
      </c>
    </row>
    <row r="342" spans="1:13">
      <c r="A342" t="s">
        <v>1</v>
      </c>
      <c r="B342" t="s">
        <v>20</v>
      </c>
      <c r="M342" t="s">
        <v>12</v>
      </c>
    </row>
    <row r="343" spans="1:13">
      <c r="A343" t="s">
        <v>2</v>
      </c>
      <c r="B343">
        <v>1</v>
      </c>
      <c r="M343" t="s">
        <v>12</v>
      </c>
    </row>
    <row r="344" spans="1:13">
      <c r="A344" t="s">
        <v>11</v>
      </c>
      <c r="B344" t="s">
        <v>636</v>
      </c>
    </row>
    <row r="345" spans="1:13">
      <c r="A345" t="s">
        <v>3</v>
      </c>
      <c r="B345" t="s">
        <v>846</v>
      </c>
      <c r="M345" t="s">
        <v>12</v>
      </c>
    </row>
    <row r="346" spans="1:13">
      <c r="A346" t="s">
        <v>5</v>
      </c>
      <c r="B346" t="s">
        <v>6</v>
      </c>
      <c r="M346" t="s">
        <v>12</v>
      </c>
    </row>
    <row r="347" spans="1:13">
      <c r="A347" t="s">
        <v>7</v>
      </c>
      <c r="B347" t="s">
        <v>38</v>
      </c>
      <c r="M347" t="s">
        <v>12</v>
      </c>
    </row>
    <row r="348" spans="1:13">
      <c r="A348" s="1" t="s">
        <v>14</v>
      </c>
      <c r="M348" t="s">
        <v>12</v>
      </c>
    </row>
    <row r="349" spans="1:13">
      <c r="A349" s="1" t="s">
        <v>15</v>
      </c>
      <c r="B349" s="1" t="s">
        <v>16</v>
      </c>
      <c r="C349" s="1" t="s">
        <v>1</v>
      </c>
      <c r="D349" s="1" t="s">
        <v>7</v>
      </c>
      <c r="E349" s="1" t="s">
        <v>18</v>
      </c>
      <c r="F349" s="1" t="s">
        <v>5</v>
      </c>
      <c r="G349" s="1" t="s">
        <v>3</v>
      </c>
      <c r="H349" s="1" t="s">
        <v>13</v>
      </c>
      <c r="I349" s="31"/>
    </row>
    <row r="350" spans="1:13">
      <c r="A350" t="str">
        <f>B341</f>
        <v>treatment of electrolyte tank, for VRFB system</v>
      </c>
      <c r="B350">
        <v>-1</v>
      </c>
      <c r="C350" t="s">
        <v>20</v>
      </c>
      <c r="D350" t="s">
        <v>38</v>
      </c>
      <c r="F350" t="s">
        <v>24</v>
      </c>
      <c r="G350" t="str">
        <f>B345</f>
        <v>used electrolyte tank, for VRFB system</v>
      </c>
      <c r="I350" s="29"/>
      <c r="J350" s="29"/>
      <c r="K350" s="29"/>
      <c r="L350" s="29"/>
    </row>
    <row r="351" spans="1:13">
      <c r="A351" t="s">
        <v>25</v>
      </c>
      <c r="B351">
        <v>0.01</v>
      </c>
      <c r="C351" t="s">
        <v>20</v>
      </c>
      <c r="D351" t="s">
        <v>8</v>
      </c>
      <c r="F351" t="s">
        <v>26</v>
      </c>
      <c r="G351" t="s">
        <v>4</v>
      </c>
    </row>
    <row r="352" spans="1:13">
      <c r="A352" s="29" t="s">
        <v>1248</v>
      </c>
      <c r="B352" s="29">
        <v>0.05</v>
      </c>
      <c r="C352" t="s">
        <v>20</v>
      </c>
      <c r="D352" s="29" t="s">
        <v>35</v>
      </c>
      <c r="F352" s="29" t="s">
        <v>26</v>
      </c>
      <c r="G352" s="29" t="s">
        <v>1249</v>
      </c>
      <c r="H352" s="29" t="s">
        <v>702</v>
      </c>
    </row>
    <row r="353" spans="1:13">
      <c r="A353" t="s">
        <v>840</v>
      </c>
      <c r="B353">
        <v>-1</v>
      </c>
      <c r="C353" t="s">
        <v>169</v>
      </c>
      <c r="D353" t="s">
        <v>38</v>
      </c>
      <c r="F353" t="s">
        <v>26</v>
      </c>
      <c r="G353" t="s">
        <v>620</v>
      </c>
    </row>
    <row r="355" spans="1:13">
      <c r="A355" s="1" t="s">
        <v>0</v>
      </c>
      <c r="B355" s="1" t="s">
        <v>847</v>
      </c>
      <c r="M355" t="s">
        <v>12</v>
      </c>
    </row>
    <row r="356" spans="1:13">
      <c r="A356" t="s">
        <v>1</v>
      </c>
      <c r="B356" t="s">
        <v>20</v>
      </c>
      <c r="M356" t="s">
        <v>12</v>
      </c>
    </row>
    <row r="357" spans="1:13">
      <c r="A357" t="s">
        <v>2</v>
      </c>
      <c r="B357">
        <v>1</v>
      </c>
      <c r="M357" t="s">
        <v>12</v>
      </c>
    </row>
    <row r="358" spans="1:13">
      <c r="A358" t="s">
        <v>11</v>
      </c>
      <c r="B358" t="s">
        <v>636</v>
      </c>
    </row>
    <row r="359" spans="1:13">
      <c r="A359" t="s">
        <v>3</v>
      </c>
      <c r="B359" t="s">
        <v>848</v>
      </c>
      <c r="M359" t="s">
        <v>12</v>
      </c>
    </row>
    <row r="360" spans="1:13">
      <c r="A360" t="s">
        <v>5</v>
      </c>
      <c r="B360" t="s">
        <v>6</v>
      </c>
      <c r="M360" t="s">
        <v>12</v>
      </c>
    </row>
    <row r="361" spans="1:13">
      <c r="A361" t="s">
        <v>7</v>
      </c>
      <c r="B361" t="s">
        <v>38</v>
      </c>
      <c r="M361" t="s">
        <v>12</v>
      </c>
    </row>
    <row r="362" spans="1:13">
      <c r="A362" s="1" t="s">
        <v>14</v>
      </c>
      <c r="M362" t="s">
        <v>12</v>
      </c>
    </row>
    <row r="363" spans="1:13">
      <c r="A363" s="1" t="s">
        <v>15</v>
      </c>
      <c r="B363" s="1" t="s">
        <v>16</v>
      </c>
      <c r="C363" s="1" t="s">
        <v>1</v>
      </c>
      <c r="D363" s="1" t="s">
        <v>7</v>
      </c>
      <c r="E363" s="1" t="s">
        <v>18</v>
      </c>
      <c r="F363" s="1" t="s">
        <v>5</v>
      </c>
      <c r="G363" s="1" t="s">
        <v>3</v>
      </c>
      <c r="H363" s="1" t="s">
        <v>13</v>
      </c>
      <c r="I363" s="31"/>
    </row>
    <row r="364" spans="1:13">
      <c r="A364" t="str">
        <f>B355</f>
        <v>treatment of electrolyte solution, for VRFB system</v>
      </c>
      <c r="B364">
        <v>-1</v>
      </c>
      <c r="C364" t="s">
        <v>20</v>
      </c>
      <c r="D364" t="s">
        <v>38</v>
      </c>
      <c r="F364" t="s">
        <v>24</v>
      </c>
      <c r="G364" t="str">
        <f>B359</f>
        <v>used electrolyte solution, for VRFB system</v>
      </c>
      <c r="I364" s="29"/>
      <c r="J364" s="29"/>
      <c r="K364" s="29"/>
      <c r="L364" s="29"/>
    </row>
    <row r="365" spans="1:13">
      <c r="A365" t="s">
        <v>25</v>
      </c>
      <c r="B365" s="5">
        <v>4.4499999999999998E-2</v>
      </c>
      <c r="C365" t="s">
        <v>20</v>
      </c>
      <c r="D365" t="s">
        <v>8</v>
      </c>
      <c r="F365" t="s">
        <v>26</v>
      </c>
      <c r="G365" t="s">
        <v>4</v>
      </c>
    </row>
    <row r="366" spans="1:13">
      <c r="A366" s="29" t="s">
        <v>1248</v>
      </c>
      <c r="B366" s="29">
        <v>0.6</v>
      </c>
      <c r="C366" t="s">
        <v>20</v>
      </c>
      <c r="D366" s="29" t="s">
        <v>35</v>
      </c>
      <c r="F366" s="29" t="s">
        <v>26</v>
      </c>
      <c r="G366" s="29" t="s">
        <v>1249</v>
      </c>
      <c r="H366" s="29" t="s">
        <v>702</v>
      </c>
    </row>
    <row r="368" spans="1:13">
      <c r="A368" s="1" t="s">
        <v>0</v>
      </c>
      <c r="B368" s="1" t="s">
        <v>849</v>
      </c>
      <c r="M368" t="s">
        <v>12</v>
      </c>
    </row>
    <row r="369" spans="1:14">
      <c r="A369" t="s">
        <v>1</v>
      </c>
      <c r="B369" t="s">
        <v>20</v>
      </c>
      <c r="M369" t="s">
        <v>12</v>
      </c>
    </row>
    <row r="370" spans="1:14">
      <c r="A370" t="s">
        <v>2</v>
      </c>
      <c r="B370">
        <v>1</v>
      </c>
      <c r="M370" t="s">
        <v>12</v>
      </c>
    </row>
    <row r="371" spans="1:14">
      <c r="A371" t="s">
        <v>11</v>
      </c>
      <c r="B371" t="s">
        <v>636</v>
      </c>
    </row>
    <row r="372" spans="1:14">
      <c r="A372" t="s">
        <v>3</v>
      </c>
      <c r="B372" t="s">
        <v>850</v>
      </c>
      <c r="M372" t="s">
        <v>12</v>
      </c>
    </row>
    <row r="373" spans="1:14">
      <c r="A373" t="s">
        <v>5</v>
      </c>
      <c r="B373" t="s">
        <v>6</v>
      </c>
      <c r="M373" t="s">
        <v>12</v>
      </c>
    </row>
    <row r="374" spans="1:14">
      <c r="A374" t="s">
        <v>7</v>
      </c>
      <c r="B374" t="s">
        <v>38</v>
      </c>
      <c r="M374" t="s">
        <v>12</v>
      </c>
    </row>
    <row r="375" spans="1:14">
      <c r="A375" s="1" t="s">
        <v>14</v>
      </c>
      <c r="M375" t="s">
        <v>12</v>
      </c>
    </row>
    <row r="376" spans="1:14">
      <c r="A376" s="1" t="s">
        <v>15</v>
      </c>
      <c r="B376" s="1" t="s">
        <v>16</v>
      </c>
      <c r="C376" s="1" t="s">
        <v>1</v>
      </c>
      <c r="D376" s="1" t="s">
        <v>7</v>
      </c>
      <c r="E376" s="1" t="s">
        <v>18</v>
      </c>
      <c r="F376" s="1" t="s">
        <v>5</v>
      </c>
      <c r="G376" s="1" t="s">
        <v>3</v>
      </c>
      <c r="H376" s="1" t="s">
        <v>13</v>
      </c>
      <c r="I376" s="31"/>
    </row>
    <row r="377" spans="1:14">
      <c r="A377" t="str">
        <f>B368</f>
        <v>treatment of periphericals, for VRFB system</v>
      </c>
      <c r="B377">
        <v>-1</v>
      </c>
      <c r="C377" t="s">
        <v>20</v>
      </c>
      <c r="D377" t="s">
        <v>38</v>
      </c>
      <c r="F377" t="s">
        <v>24</v>
      </c>
      <c r="G377" t="str">
        <f>B372</f>
        <v>used periphericals, for VRFB system</v>
      </c>
      <c r="I377" s="29"/>
      <c r="J377" s="29"/>
      <c r="K377" s="29"/>
      <c r="L377" s="29"/>
      <c r="M377" s="29"/>
      <c r="N377" s="29"/>
    </row>
    <row r="378" spans="1:14">
      <c r="A378" t="s">
        <v>25</v>
      </c>
      <c r="B378">
        <v>0.01</v>
      </c>
      <c r="C378" t="s">
        <v>20</v>
      </c>
      <c r="D378" t="s">
        <v>8</v>
      </c>
      <c r="F378" t="s">
        <v>26</v>
      </c>
      <c r="G378" t="s">
        <v>4</v>
      </c>
      <c r="K378" s="29"/>
      <c r="L378" s="29"/>
      <c r="M378" s="29"/>
      <c r="N378" s="29"/>
    </row>
    <row r="379" spans="1:14">
      <c r="A379" t="s">
        <v>31</v>
      </c>
      <c r="B379">
        <v>0.1</v>
      </c>
      <c r="C379" t="s">
        <v>34</v>
      </c>
      <c r="D379" t="s">
        <v>33</v>
      </c>
      <c r="F379" t="s">
        <v>26</v>
      </c>
      <c r="G379" t="s">
        <v>32</v>
      </c>
      <c r="K379" s="29"/>
      <c r="L379" s="29"/>
      <c r="M379" s="29"/>
      <c r="N379" s="29"/>
    </row>
    <row r="380" spans="1:14">
      <c r="A380" t="s">
        <v>843</v>
      </c>
      <c r="B380">
        <v>-1.0999999999999999E-2</v>
      </c>
      <c r="C380" t="s">
        <v>34</v>
      </c>
      <c r="D380" t="s">
        <v>38</v>
      </c>
      <c r="F380" t="s">
        <v>26</v>
      </c>
      <c r="G380" t="s">
        <v>844</v>
      </c>
      <c r="K380" s="31"/>
    </row>
    <row r="381" spans="1:14">
      <c r="A381" t="s">
        <v>851</v>
      </c>
      <c r="B381">
        <v>-3.3000000000000002E-2</v>
      </c>
      <c r="C381" t="s">
        <v>34</v>
      </c>
      <c r="D381" t="s">
        <v>38</v>
      </c>
      <c r="F381" t="s">
        <v>26</v>
      </c>
      <c r="G381" t="s">
        <v>852</v>
      </c>
      <c r="K381" s="29"/>
      <c r="L381" s="29"/>
      <c r="M381" s="29"/>
      <c r="N381" s="29"/>
    </row>
    <row r="382" spans="1:14">
      <c r="A382" t="s">
        <v>853</v>
      </c>
      <c r="B382">
        <v>-0.59</v>
      </c>
      <c r="C382" t="s">
        <v>34</v>
      </c>
      <c r="D382" t="s">
        <v>38</v>
      </c>
      <c r="F382" t="s">
        <v>26</v>
      </c>
      <c r="G382" t="s">
        <v>854</v>
      </c>
      <c r="K382" s="29"/>
      <c r="L382" s="29"/>
      <c r="M382" s="29"/>
      <c r="N382" s="29"/>
    </row>
    <row r="383" spans="1:14">
      <c r="A383" t="s">
        <v>840</v>
      </c>
      <c r="B383">
        <v>-0.22</v>
      </c>
      <c r="C383" t="s">
        <v>169</v>
      </c>
      <c r="D383" t="s">
        <v>38</v>
      </c>
      <c r="F383" t="s">
        <v>26</v>
      </c>
      <c r="G383" t="s">
        <v>620</v>
      </c>
      <c r="K383" s="29"/>
      <c r="L383" s="29"/>
      <c r="M383" s="29"/>
      <c r="N383" s="29"/>
    </row>
    <row r="384" spans="1:14">
      <c r="K384" s="29"/>
      <c r="L384" s="29"/>
      <c r="M384" s="29"/>
      <c r="N384" s="29"/>
    </row>
    <row r="385" spans="1:16">
      <c r="A385" s="1" t="s">
        <v>0</v>
      </c>
      <c r="B385" s="1" t="s">
        <v>855</v>
      </c>
      <c r="M385" t="s">
        <v>12</v>
      </c>
    </row>
    <row r="386" spans="1:16">
      <c r="A386" t="s">
        <v>1</v>
      </c>
      <c r="B386" t="s">
        <v>20</v>
      </c>
      <c r="M386" t="s">
        <v>12</v>
      </c>
    </row>
    <row r="387" spans="1:16">
      <c r="A387" t="s">
        <v>13</v>
      </c>
      <c r="B387" t="s">
        <v>856</v>
      </c>
    </row>
    <row r="388" spans="1:16">
      <c r="A388" t="s">
        <v>2</v>
      </c>
      <c r="B388">
        <v>1</v>
      </c>
      <c r="M388" t="s">
        <v>12</v>
      </c>
    </row>
    <row r="389" spans="1:16">
      <c r="A389" t="s">
        <v>11</v>
      </c>
      <c r="B389" t="s">
        <v>636</v>
      </c>
    </row>
    <row r="390" spans="1:16">
      <c r="A390" t="s">
        <v>3</v>
      </c>
      <c r="B390" t="s">
        <v>857</v>
      </c>
      <c r="M390" t="s">
        <v>12</v>
      </c>
    </row>
    <row r="391" spans="1:16">
      <c r="A391" t="s">
        <v>5</v>
      </c>
      <c r="B391" t="s">
        <v>6</v>
      </c>
      <c r="M391" t="s">
        <v>12</v>
      </c>
    </row>
    <row r="392" spans="1:16">
      <c r="A392" t="s">
        <v>7</v>
      </c>
      <c r="B392" t="s">
        <v>7</v>
      </c>
      <c r="M392" t="s">
        <v>12</v>
      </c>
    </row>
    <row r="393" spans="1:16">
      <c r="A393" s="1" t="s">
        <v>14</v>
      </c>
      <c r="M393" t="s">
        <v>12</v>
      </c>
    </row>
    <row r="394" spans="1:16">
      <c r="A394" s="1" t="s">
        <v>15</v>
      </c>
      <c r="B394" s="1" t="s">
        <v>16</v>
      </c>
      <c r="C394" s="1" t="s">
        <v>1</v>
      </c>
      <c r="D394" s="1" t="s">
        <v>7</v>
      </c>
      <c r="E394" s="1" t="s">
        <v>18</v>
      </c>
      <c r="F394" s="1" t="s">
        <v>5</v>
      </c>
      <c r="G394" s="1" t="s">
        <v>3</v>
      </c>
      <c r="H394" s="1" t="s">
        <v>13</v>
      </c>
      <c r="I394" s="31"/>
    </row>
    <row r="395" spans="1:16">
      <c r="A395" t="str">
        <f>B385</f>
        <v>vanadium-redox flow battery stack assembly</v>
      </c>
      <c r="B395">
        <v>1</v>
      </c>
      <c r="C395" t="s">
        <v>20</v>
      </c>
      <c r="D395" t="str">
        <f>B392</f>
        <v>unit</v>
      </c>
      <c r="F395" t="s">
        <v>24</v>
      </c>
      <c r="G395" t="str">
        <f>B390</f>
        <v>vanadium-redox flow battery stack</v>
      </c>
      <c r="I395" s="29"/>
      <c r="J395" s="29"/>
      <c r="K395" s="29"/>
      <c r="L395" s="29"/>
      <c r="M395" s="29"/>
      <c r="N395" s="29"/>
    </row>
    <row r="396" spans="1:16">
      <c r="A396" t="s">
        <v>634</v>
      </c>
      <c r="B396" s="29">
        <v>150</v>
      </c>
      <c r="C396" t="s">
        <v>20</v>
      </c>
      <c r="D396" t="s">
        <v>38</v>
      </c>
      <c r="F396" t="s">
        <v>26</v>
      </c>
      <c r="G396" t="s">
        <v>637</v>
      </c>
      <c r="H396" s="29" t="s">
        <v>858</v>
      </c>
      <c r="I396" s="29"/>
      <c r="J396" s="28"/>
      <c r="K396" s="28"/>
      <c r="L396" s="28"/>
      <c r="M396" s="28"/>
      <c r="N396" s="28"/>
      <c r="O396" s="28"/>
      <c r="P396" s="28"/>
    </row>
    <row r="397" spans="1:16">
      <c r="A397" t="s">
        <v>665</v>
      </c>
      <c r="B397" s="29">
        <v>419</v>
      </c>
      <c r="C397" t="s">
        <v>20</v>
      </c>
      <c r="D397" t="s">
        <v>38</v>
      </c>
      <c r="F397" t="s">
        <v>26</v>
      </c>
      <c r="G397" t="s">
        <v>667</v>
      </c>
      <c r="H397" s="29" t="s">
        <v>859</v>
      </c>
      <c r="I397" s="29"/>
      <c r="K397" s="29"/>
      <c r="L397" s="29"/>
      <c r="M397" s="29"/>
      <c r="N397" s="29"/>
      <c r="O397" s="29"/>
    </row>
    <row r="398" spans="1:16">
      <c r="A398" t="s">
        <v>678</v>
      </c>
      <c r="B398" s="29">
        <v>5490</v>
      </c>
      <c r="C398" t="s">
        <v>20</v>
      </c>
      <c r="D398" t="s">
        <v>38</v>
      </c>
      <c r="F398" t="s">
        <v>26</v>
      </c>
      <c r="G398" t="s">
        <v>680</v>
      </c>
      <c r="H398" s="29" t="s">
        <v>860</v>
      </c>
      <c r="I398" s="29"/>
      <c r="K398" s="29"/>
      <c r="L398" s="29"/>
      <c r="M398" s="29"/>
      <c r="N398" s="29"/>
      <c r="O398" s="29"/>
    </row>
    <row r="399" spans="1:16">
      <c r="A399" t="s">
        <v>737</v>
      </c>
      <c r="B399" s="29">
        <v>1970</v>
      </c>
      <c r="C399" t="s">
        <v>20</v>
      </c>
      <c r="D399" t="s">
        <v>38</v>
      </c>
      <c r="F399" t="s">
        <v>26</v>
      </c>
      <c r="G399" t="s">
        <v>739</v>
      </c>
      <c r="H399" s="29" t="s">
        <v>861</v>
      </c>
      <c r="I399" s="29"/>
      <c r="K399" s="29"/>
      <c r="L399" s="29"/>
      <c r="M399" s="29"/>
      <c r="N399" s="29"/>
      <c r="O399" s="29"/>
    </row>
    <row r="400" spans="1:16">
      <c r="A400" t="s">
        <v>745</v>
      </c>
      <c r="B400" s="29">
        <v>306</v>
      </c>
      <c r="C400" t="s">
        <v>20</v>
      </c>
      <c r="D400" t="s">
        <v>38</v>
      </c>
      <c r="F400" t="s">
        <v>26</v>
      </c>
      <c r="G400" t="s">
        <v>747</v>
      </c>
      <c r="H400" s="29" t="s">
        <v>862</v>
      </c>
      <c r="I400" s="29"/>
      <c r="K400" s="29"/>
      <c r="L400" s="29"/>
      <c r="M400" s="29"/>
      <c r="N400" s="29"/>
      <c r="O400" s="29"/>
    </row>
    <row r="401" spans="1:16">
      <c r="A401" t="s">
        <v>750</v>
      </c>
      <c r="B401" s="29">
        <v>428</v>
      </c>
      <c r="C401" t="s">
        <v>20</v>
      </c>
      <c r="D401" t="s">
        <v>38</v>
      </c>
      <c r="F401" t="s">
        <v>26</v>
      </c>
      <c r="G401" t="s">
        <v>752</v>
      </c>
      <c r="H401" s="29" t="s">
        <v>863</v>
      </c>
      <c r="I401" s="29"/>
      <c r="K401" s="29"/>
      <c r="L401" s="29"/>
      <c r="M401" s="29"/>
      <c r="N401" s="29"/>
      <c r="O401" s="29"/>
    </row>
    <row r="402" spans="1:16">
      <c r="A402" t="s">
        <v>704</v>
      </c>
      <c r="B402" s="29">
        <v>1253</v>
      </c>
      <c r="C402" t="s">
        <v>20</v>
      </c>
      <c r="D402" t="s">
        <v>38</v>
      </c>
      <c r="F402" t="s">
        <v>26</v>
      </c>
      <c r="G402" t="s">
        <v>706</v>
      </c>
      <c r="H402" s="29" t="s">
        <v>864</v>
      </c>
      <c r="I402" s="29"/>
      <c r="K402" s="29"/>
      <c r="L402" s="29"/>
      <c r="M402" s="29"/>
      <c r="N402" s="29"/>
      <c r="O402" s="29"/>
    </row>
    <row r="403" spans="1:16">
      <c r="B403" s="29"/>
      <c r="H403" s="29"/>
      <c r="I403" s="29"/>
      <c r="K403" s="29"/>
      <c r="L403" s="29"/>
      <c r="M403" s="29"/>
      <c r="N403" s="29"/>
      <c r="O403" s="29"/>
    </row>
    <row r="404" spans="1:16">
      <c r="A404" s="1" t="s">
        <v>0</v>
      </c>
      <c r="B404" s="1" t="s">
        <v>865</v>
      </c>
      <c r="M404" t="s">
        <v>12</v>
      </c>
    </row>
    <row r="405" spans="1:16">
      <c r="A405" t="s">
        <v>1</v>
      </c>
      <c r="B405" t="s">
        <v>20</v>
      </c>
      <c r="M405" t="s">
        <v>12</v>
      </c>
    </row>
    <row r="406" spans="1:16">
      <c r="A406" t="s">
        <v>13</v>
      </c>
      <c r="B406" t="s">
        <v>856</v>
      </c>
    </row>
    <row r="407" spans="1:16">
      <c r="A407" t="s">
        <v>2</v>
      </c>
      <c r="B407">
        <v>1</v>
      </c>
      <c r="M407" t="s">
        <v>12</v>
      </c>
    </row>
    <row r="408" spans="1:16">
      <c r="A408" t="s">
        <v>11</v>
      </c>
      <c r="B408" t="s">
        <v>636</v>
      </c>
    </row>
    <row r="409" spans="1:16">
      <c r="A409" t="s">
        <v>3</v>
      </c>
      <c r="B409" t="s">
        <v>866</v>
      </c>
      <c r="M409" t="s">
        <v>12</v>
      </c>
    </row>
    <row r="410" spans="1:16">
      <c r="A410" t="s">
        <v>5</v>
      </c>
      <c r="B410" t="s">
        <v>6</v>
      </c>
      <c r="M410" t="s">
        <v>12</v>
      </c>
    </row>
    <row r="411" spans="1:16">
      <c r="A411" t="s">
        <v>7</v>
      </c>
      <c r="B411" t="s">
        <v>7</v>
      </c>
      <c r="M411" t="s">
        <v>12</v>
      </c>
    </row>
    <row r="412" spans="1:16">
      <c r="A412" s="1" t="s">
        <v>14</v>
      </c>
      <c r="M412" t="s">
        <v>12</v>
      </c>
    </row>
    <row r="413" spans="1:16">
      <c r="A413" s="1" t="s">
        <v>15</v>
      </c>
      <c r="B413" s="1" t="s">
        <v>16</v>
      </c>
      <c r="C413" s="1" t="s">
        <v>1</v>
      </c>
      <c r="D413" s="1" t="s">
        <v>7</v>
      </c>
      <c r="E413" s="1" t="s">
        <v>18</v>
      </c>
      <c r="F413" s="1" t="s">
        <v>5</v>
      </c>
      <c r="G413" s="1" t="s">
        <v>3</v>
      </c>
      <c r="H413" s="1" t="s">
        <v>13</v>
      </c>
      <c r="I413" s="31"/>
    </row>
    <row r="414" spans="1:16">
      <c r="A414" t="str">
        <f>B404</f>
        <v>vanadium-redox flow battery system assembly, 8.3 megawatt hour</v>
      </c>
      <c r="B414">
        <v>1</v>
      </c>
      <c r="C414" t="s">
        <v>20</v>
      </c>
      <c r="D414" t="str">
        <f>B411</f>
        <v>unit</v>
      </c>
      <c r="F414" t="s">
        <v>24</v>
      </c>
      <c r="G414" t="str">
        <f>B409</f>
        <v>vanadium-redox flow battery system</v>
      </c>
      <c r="I414" s="29"/>
      <c r="J414" s="29"/>
      <c r="K414" s="29"/>
      <c r="L414" s="29"/>
      <c r="M414" s="29"/>
      <c r="N414" s="29"/>
    </row>
    <row r="415" spans="1:16">
      <c r="A415" t="s">
        <v>855</v>
      </c>
      <c r="B415" s="29">
        <v>1</v>
      </c>
      <c r="C415" t="s">
        <v>20</v>
      </c>
      <c r="D415" t="s">
        <v>7</v>
      </c>
      <c r="F415" t="s">
        <v>26</v>
      </c>
      <c r="G415" t="s">
        <v>857</v>
      </c>
      <c r="H415" s="29" t="s">
        <v>867</v>
      </c>
      <c r="I415" s="29"/>
      <c r="J415" s="28"/>
      <c r="K415" s="28"/>
      <c r="L415" s="28"/>
      <c r="M415" s="28"/>
      <c r="N415" s="28"/>
      <c r="O415" s="28"/>
      <c r="P415" s="28"/>
    </row>
    <row r="416" spans="1:16">
      <c r="A416" t="s">
        <v>715</v>
      </c>
      <c r="B416" s="29">
        <v>272220</v>
      </c>
      <c r="C416" t="s">
        <v>20</v>
      </c>
      <c r="D416" t="s">
        <v>38</v>
      </c>
      <c r="F416" t="s">
        <v>26</v>
      </c>
      <c r="G416" t="s">
        <v>717</v>
      </c>
      <c r="H416" s="29" t="s">
        <v>868</v>
      </c>
      <c r="I416" s="29"/>
      <c r="K416" s="29"/>
      <c r="L416" s="29"/>
      <c r="M416" s="29"/>
      <c r="N416" s="29"/>
      <c r="O416" s="29"/>
    </row>
    <row r="417" spans="1:15">
      <c r="A417" t="s">
        <v>728</v>
      </c>
      <c r="B417" s="29">
        <v>32589</v>
      </c>
      <c r="C417" t="s">
        <v>20</v>
      </c>
      <c r="D417" t="s">
        <v>38</v>
      </c>
      <c r="F417" t="s">
        <v>26</v>
      </c>
      <c r="G417" t="s">
        <v>730</v>
      </c>
      <c r="H417" s="29" t="s">
        <v>869</v>
      </c>
      <c r="I417" s="29"/>
      <c r="K417" s="29"/>
      <c r="L417" s="29"/>
      <c r="M417" s="29"/>
      <c r="N417" s="29"/>
      <c r="O417" s="29"/>
    </row>
    <row r="418" spans="1:15">
      <c r="A418" t="s">
        <v>774</v>
      </c>
      <c r="B418" s="29">
        <v>580</v>
      </c>
      <c r="C418" t="s">
        <v>20</v>
      </c>
      <c r="D418" t="s">
        <v>38</v>
      </c>
      <c r="F418" t="s">
        <v>26</v>
      </c>
      <c r="G418" t="s">
        <v>776</v>
      </c>
      <c r="H418" s="29" t="s">
        <v>870</v>
      </c>
      <c r="I418" s="29"/>
      <c r="K418" s="29"/>
      <c r="L418" s="29"/>
      <c r="M418" s="29"/>
      <c r="N418" s="29"/>
      <c r="O418" s="29"/>
    </row>
    <row r="419" spans="1:15">
      <c r="A419" t="s">
        <v>789</v>
      </c>
      <c r="B419" s="29">
        <v>332</v>
      </c>
      <c r="C419" t="s">
        <v>20</v>
      </c>
      <c r="D419" t="s">
        <v>38</v>
      </c>
      <c r="F419" t="s">
        <v>26</v>
      </c>
      <c r="G419" t="s">
        <v>791</v>
      </c>
      <c r="H419" s="29" t="s">
        <v>871</v>
      </c>
      <c r="I419" s="29"/>
      <c r="K419" s="29"/>
      <c r="L419" s="29"/>
      <c r="M419" s="29"/>
      <c r="N419" s="29"/>
      <c r="O419" s="29"/>
    </row>
    <row r="420" spans="1:15">
      <c r="A420" t="s">
        <v>872</v>
      </c>
      <c r="B420" s="29">
        <v>2</v>
      </c>
      <c r="C420" t="s">
        <v>34</v>
      </c>
      <c r="D420" t="s">
        <v>7</v>
      </c>
      <c r="F420" t="s">
        <v>26</v>
      </c>
      <c r="G420" t="s">
        <v>618</v>
      </c>
      <c r="H420" s="29" t="s">
        <v>873</v>
      </c>
      <c r="I420" s="29"/>
      <c r="K420" s="29"/>
      <c r="L420" s="29"/>
      <c r="M420" s="29"/>
      <c r="N420" s="29"/>
      <c r="O420" s="29"/>
    </row>
    <row r="421" spans="1:15">
      <c r="A421" t="s">
        <v>763</v>
      </c>
      <c r="B421" s="29">
        <v>177</v>
      </c>
      <c r="C421" t="s">
        <v>20</v>
      </c>
      <c r="D421" t="s">
        <v>38</v>
      </c>
      <c r="F421" t="s">
        <v>26</v>
      </c>
      <c r="G421" t="s">
        <v>764</v>
      </c>
      <c r="H421" s="29" t="s">
        <v>874</v>
      </c>
      <c r="I421" s="29"/>
      <c r="K421" s="29"/>
      <c r="L421" s="29"/>
      <c r="M421" s="29"/>
      <c r="N421" s="29"/>
      <c r="O421" s="29"/>
    </row>
    <row r="422" spans="1:15">
      <c r="A422" t="s">
        <v>833</v>
      </c>
      <c r="B422" s="29">
        <v>13</v>
      </c>
      <c r="C422" t="s">
        <v>20</v>
      </c>
      <c r="D422" t="s">
        <v>38</v>
      </c>
      <c r="F422" t="s">
        <v>26</v>
      </c>
      <c r="G422" t="s">
        <v>834</v>
      </c>
      <c r="H422" s="29" t="s">
        <v>875</v>
      </c>
      <c r="I422" s="29"/>
      <c r="K422" s="29"/>
      <c r="L422" s="29"/>
      <c r="M422" s="29"/>
      <c r="N422" s="29"/>
      <c r="O422" s="29"/>
    </row>
    <row r="423" spans="1:15">
      <c r="A423" t="s">
        <v>801</v>
      </c>
      <c r="B423" s="29">
        <v>1023</v>
      </c>
      <c r="C423" t="s">
        <v>20</v>
      </c>
      <c r="D423" t="s">
        <v>38</v>
      </c>
      <c r="F423" t="s">
        <v>26</v>
      </c>
      <c r="G423" t="s">
        <v>803</v>
      </c>
      <c r="H423" s="29" t="s">
        <v>876</v>
      </c>
      <c r="I423" s="29"/>
      <c r="K423" s="29"/>
      <c r="L423" s="29"/>
      <c r="M423" s="29"/>
      <c r="N423" s="29"/>
      <c r="O423" s="29"/>
    </row>
    <row r="424" spans="1:15">
      <c r="I424" s="29"/>
      <c r="J424" s="29"/>
      <c r="K424" s="29"/>
      <c r="L424" s="29"/>
      <c r="M424" s="29"/>
      <c r="N424" s="29"/>
      <c r="O424" s="29"/>
    </row>
    <row r="425" spans="1:15">
      <c r="A425" s="1" t="s">
        <v>0</v>
      </c>
      <c r="B425" s="1" t="s">
        <v>885</v>
      </c>
      <c r="M425" t="s">
        <v>12</v>
      </c>
    </row>
    <row r="426" spans="1:15">
      <c r="A426" t="s">
        <v>1</v>
      </c>
      <c r="B426" t="s">
        <v>194</v>
      </c>
      <c r="M426" t="s">
        <v>12</v>
      </c>
    </row>
    <row r="427" spans="1:15">
      <c r="A427" t="s">
        <v>13</v>
      </c>
      <c r="B427" t="s">
        <v>877</v>
      </c>
    </row>
    <row r="428" spans="1:15">
      <c r="A428" t="s">
        <v>2</v>
      </c>
      <c r="B428">
        <v>1</v>
      </c>
      <c r="M428" t="s">
        <v>12</v>
      </c>
    </row>
    <row r="429" spans="1:15">
      <c r="A429" t="s">
        <v>11</v>
      </c>
      <c r="B429" t="s">
        <v>636</v>
      </c>
    </row>
    <row r="430" spans="1:15">
      <c r="A430" t="s">
        <v>3</v>
      </c>
      <c r="B430" t="s">
        <v>159</v>
      </c>
      <c r="M430" t="s">
        <v>12</v>
      </c>
    </row>
    <row r="431" spans="1:15">
      <c r="A431" t="s">
        <v>5</v>
      </c>
      <c r="B431" t="s">
        <v>6</v>
      </c>
      <c r="M431" t="s">
        <v>12</v>
      </c>
    </row>
    <row r="432" spans="1:15">
      <c r="A432" t="s">
        <v>7</v>
      </c>
      <c r="B432" t="s">
        <v>8</v>
      </c>
      <c r="M432" t="s">
        <v>12</v>
      </c>
    </row>
    <row r="433" spans="1:14">
      <c r="A433" s="1" t="s">
        <v>14</v>
      </c>
      <c r="M433" t="s">
        <v>12</v>
      </c>
    </row>
    <row r="434" spans="1:14">
      <c r="A434" s="1" t="s">
        <v>15</v>
      </c>
      <c r="B434" s="1" t="s">
        <v>16</v>
      </c>
      <c r="C434" s="1" t="s">
        <v>1</v>
      </c>
      <c r="D434" s="1" t="s">
        <v>7</v>
      </c>
      <c r="E434" s="1" t="s">
        <v>18</v>
      </c>
      <c r="F434" s="1" t="s">
        <v>5</v>
      </c>
      <c r="G434" s="1" t="s">
        <v>3</v>
      </c>
      <c r="H434" s="1" t="s">
        <v>13</v>
      </c>
      <c r="I434" s="31"/>
    </row>
    <row r="435" spans="1:14">
      <c r="A435" t="str">
        <f>B425</f>
        <v>electricity supply, high voltage, from vanadium-redox flow battery system RTE2050</v>
      </c>
      <c r="B435">
        <v>1</v>
      </c>
      <c r="C435" t="s">
        <v>194</v>
      </c>
      <c r="D435" t="str">
        <f>B432</f>
        <v>kilowatt hour</v>
      </c>
      <c r="F435" t="s">
        <v>24</v>
      </c>
      <c r="G435" t="str">
        <f>B430</f>
        <v>electricity, high voltage</v>
      </c>
      <c r="I435" s="29"/>
      <c r="J435" s="29"/>
      <c r="K435" s="29"/>
      <c r="L435" s="29"/>
      <c r="M435" s="29"/>
      <c r="N435" s="29"/>
    </row>
    <row r="436" spans="1:14">
      <c r="A436" t="s">
        <v>200</v>
      </c>
      <c r="B436">
        <v>1.33</v>
      </c>
      <c r="C436" t="s">
        <v>194</v>
      </c>
      <c r="D436" t="s">
        <v>8</v>
      </c>
      <c r="F436" t="s">
        <v>26</v>
      </c>
      <c r="G436" t="s">
        <v>159</v>
      </c>
      <c r="H436" t="s">
        <v>878</v>
      </c>
      <c r="I436" s="29"/>
      <c r="J436" s="29"/>
      <c r="K436" s="29"/>
      <c r="L436" s="29"/>
      <c r="M436" s="29"/>
      <c r="N436" s="29"/>
    </row>
    <row r="437" spans="1:14">
      <c r="A437" t="s">
        <v>865</v>
      </c>
      <c r="B437" s="21">
        <f>1/(49000000)</f>
        <v>2.0408163265306123E-8</v>
      </c>
      <c r="C437" t="s">
        <v>20</v>
      </c>
      <c r="D437" t="s">
        <v>7</v>
      </c>
      <c r="F437" t="s">
        <v>26</v>
      </c>
      <c r="G437" t="s">
        <v>866</v>
      </c>
      <c r="H437" t="s">
        <v>879</v>
      </c>
    </row>
    <row r="438" spans="1:14">
      <c r="A438" t="s">
        <v>855</v>
      </c>
      <c r="B438" s="21">
        <f>1/(49000000)</f>
        <v>2.0408163265306123E-8</v>
      </c>
      <c r="C438" t="s">
        <v>20</v>
      </c>
      <c r="D438" t="s">
        <v>7</v>
      </c>
      <c r="F438" t="s">
        <v>26</v>
      </c>
      <c r="G438" t="s">
        <v>857</v>
      </c>
      <c r="H438" t="s">
        <v>880</v>
      </c>
    </row>
    <row r="439" spans="1:14">
      <c r="A439" t="s">
        <v>837</v>
      </c>
      <c r="B439" s="21">
        <f>-0.41/1000</f>
        <v>-4.0999999999999999E-4</v>
      </c>
      <c r="C439" t="s">
        <v>20</v>
      </c>
      <c r="D439" t="s">
        <v>38</v>
      </c>
      <c r="F439" t="s">
        <v>26</v>
      </c>
      <c r="G439" t="s">
        <v>838</v>
      </c>
      <c r="H439" t="s">
        <v>881</v>
      </c>
    </row>
    <row r="440" spans="1:14">
      <c r="A440" t="s">
        <v>845</v>
      </c>
      <c r="B440">
        <f>-0.66/1000</f>
        <v>-6.6E-4</v>
      </c>
      <c r="C440" t="s">
        <v>20</v>
      </c>
      <c r="D440" t="s">
        <v>38</v>
      </c>
      <c r="F440" t="s">
        <v>26</v>
      </c>
      <c r="G440" t="s">
        <v>846</v>
      </c>
      <c r="H440" t="s">
        <v>882</v>
      </c>
    </row>
    <row r="441" spans="1:14">
      <c r="A441" t="s">
        <v>847</v>
      </c>
      <c r="B441">
        <f>-5.55/1000</f>
        <v>-5.5500000000000002E-3</v>
      </c>
      <c r="C441" t="s">
        <v>20</v>
      </c>
      <c r="D441" t="s">
        <v>38</v>
      </c>
      <c r="F441" t="s">
        <v>26</v>
      </c>
      <c r="G441" t="s">
        <v>848</v>
      </c>
      <c r="H441" t="s">
        <v>883</v>
      </c>
    </row>
    <row r="442" spans="1:14">
      <c r="A442" t="s">
        <v>849</v>
      </c>
      <c r="B442">
        <f>-0.1/1000</f>
        <v>-1E-4</v>
      </c>
      <c r="C442" t="s">
        <v>20</v>
      </c>
      <c r="D442" t="s">
        <v>38</v>
      </c>
      <c r="F442" t="s">
        <v>26</v>
      </c>
      <c r="G442" t="s">
        <v>850</v>
      </c>
      <c r="H442" t="s">
        <v>884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9A94-C519-407B-8F32-C9F3B7B4F38F}">
  <dimension ref="A1:P1438"/>
  <sheetViews>
    <sheetView topLeftCell="A93" zoomScaleNormal="100" workbookViewId="0">
      <selection activeCell="C104" sqref="C104"/>
    </sheetView>
  </sheetViews>
  <sheetFormatPr defaultColWidth="10.58203125" defaultRowHeight="15.5"/>
  <cols>
    <col min="1" max="1" width="45.08203125" customWidth="1"/>
    <col min="2" max="2" width="12.5" bestFit="1" customWidth="1"/>
    <col min="8" max="8" width="10.75" bestFit="1" customWidth="1"/>
    <col min="9" max="9" width="12.5" bestFit="1" customWidth="1"/>
    <col min="10" max="10" width="11.83203125" bestFit="1" customWidth="1"/>
    <col min="13" max="13" width="30.25" customWidth="1"/>
  </cols>
  <sheetData>
    <row r="1" spans="1:16">
      <c r="A1" s="1" t="s">
        <v>0</v>
      </c>
      <c r="B1" s="1" t="s">
        <v>201</v>
      </c>
    </row>
    <row r="2" spans="1:16">
      <c r="A2" t="s">
        <v>1</v>
      </c>
      <c r="B2" t="s">
        <v>194</v>
      </c>
    </row>
    <row r="3" spans="1:16">
      <c r="A3" t="s">
        <v>2</v>
      </c>
      <c r="B3">
        <v>1</v>
      </c>
    </row>
    <row r="4" spans="1:16">
      <c r="A4" t="s">
        <v>3</v>
      </c>
      <c r="B4" t="s">
        <v>159</v>
      </c>
    </row>
    <row r="5" spans="1:16">
      <c r="A5" t="s">
        <v>5</v>
      </c>
      <c r="B5" t="s">
        <v>6</v>
      </c>
    </row>
    <row r="6" spans="1:16">
      <c r="A6" t="s">
        <v>7</v>
      </c>
      <c r="B6" t="s">
        <v>8</v>
      </c>
    </row>
    <row r="7" spans="1:16">
      <c r="A7" t="s">
        <v>13</v>
      </c>
      <c r="B7" t="s">
        <v>202</v>
      </c>
    </row>
    <row r="8" spans="1:16">
      <c r="A8" s="1" t="s">
        <v>14</v>
      </c>
    </row>
    <row r="9" spans="1:16">
      <c r="A9" t="s">
        <v>15</v>
      </c>
      <c r="B9" t="s">
        <v>16</v>
      </c>
      <c r="C9" t="s">
        <v>17</v>
      </c>
      <c r="D9" t="s">
        <v>1</v>
      </c>
      <c r="E9" t="s">
        <v>7</v>
      </c>
      <c r="F9" t="s">
        <v>18</v>
      </c>
      <c r="G9" t="s">
        <v>5</v>
      </c>
      <c r="H9" t="s">
        <v>203</v>
      </c>
      <c r="I9" t="s">
        <v>204</v>
      </c>
      <c r="J9" t="s">
        <v>205</v>
      </c>
      <c r="K9" t="s">
        <v>206</v>
      </c>
      <c r="L9" t="s">
        <v>13</v>
      </c>
      <c r="M9" t="s">
        <v>207</v>
      </c>
      <c r="N9" t="s">
        <v>208</v>
      </c>
      <c r="O9" t="s">
        <v>3</v>
      </c>
      <c r="P9" t="s">
        <v>209</v>
      </c>
    </row>
    <row r="10" spans="1:16">
      <c r="A10" t="s">
        <v>210</v>
      </c>
      <c r="B10">
        <v>4.25E-9</v>
      </c>
      <c r="C10" t="s">
        <v>172</v>
      </c>
      <c r="E10" t="s">
        <v>211</v>
      </c>
      <c r="F10" t="s">
        <v>212</v>
      </c>
      <c r="G10" t="s">
        <v>126</v>
      </c>
      <c r="H10">
        <v>2</v>
      </c>
      <c r="I10">
        <v>-19.27634685401009</v>
      </c>
      <c r="J10">
        <v>0.20273255405408211</v>
      </c>
      <c r="L10" t="s">
        <v>213</v>
      </c>
      <c r="M10">
        <v>0</v>
      </c>
    </row>
    <row r="11" spans="1:16">
      <c r="A11" t="s">
        <v>214</v>
      </c>
      <c r="B11">
        <v>6.48</v>
      </c>
      <c r="C11" t="s">
        <v>172</v>
      </c>
      <c r="E11" t="s">
        <v>33</v>
      </c>
      <c r="F11" t="s">
        <v>212</v>
      </c>
      <c r="G11" t="s">
        <v>126</v>
      </c>
      <c r="H11">
        <v>2</v>
      </c>
      <c r="I11">
        <v>1.8687205103641831</v>
      </c>
      <c r="J11">
        <v>1.4779401120772209E-2</v>
      </c>
      <c r="L11" t="s">
        <v>215</v>
      </c>
      <c r="M11">
        <v>0</v>
      </c>
    </row>
    <row r="12" spans="1:16">
      <c r="A12" t="s">
        <v>216</v>
      </c>
      <c r="B12">
        <v>5.6800000000000003E-2</v>
      </c>
      <c r="C12" t="s">
        <v>172</v>
      </c>
      <c r="E12" t="s">
        <v>211</v>
      </c>
      <c r="F12" t="s">
        <v>212</v>
      </c>
      <c r="G12" t="s">
        <v>126</v>
      </c>
      <c r="H12">
        <v>2</v>
      </c>
      <c r="I12">
        <v>-2.868218953255032</v>
      </c>
      <c r="J12">
        <v>0.20273255405408211</v>
      </c>
      <c r="L12" t="s">
        <v>213</v>
      </c>
      <c r="M12">
        <v>0</v>
      </c>
    </row>
    <row r="13" spans="1:16">
      <c r="A13" t="s">
        <v>216</v>
      </c>
      <c r="B13">
        <v>1.55</v>
      </c>
      <c r="C13" t="s">
        <v>172</v>
      </c>
      <c r="E13" t="s">
        <v>211</v>
      </c>
      <c r="F13" t="s">
        <v>217</v>
      </c>
      <c r="G13" t="s">
        <v>126</v>
      </c>
      <c r="H13">
        <v>2</v>
      </c>
      <c r="I13">
        <v>0.43825493093115531</v>
      </c>
      <c r="J13">
        <v>0.20273255405408211</v>
      </c>
      <c r="L13" t="s">
        <v>213</v>
      </c>
      <c r="M13">
        <v>0</v>
      </c>
    </row>
    <row r="14" spans="1:16">
      <c r="A14" t="s">
        <v>218</v>
      </c>
      <c r="B14">
        <v>5.8099999999999997E-8</v>
      </c>
      <c r="C14" t="s">
        <v>172</v>
      </c>
      <c r="E14" t="s">
        <v>211</v>
      </c>
      <c r="F14" t="s">
        <v>212</v>
      </c>
      <c r="G14" t="s">
        <v>126</v>
      </c>
      <c r="H14">
        <v>0</v>
      </c>
      <c r="I14">
        <v>5.8099999999999997E-8</v>
      </c>
    </row>
    <row r="15" spans="1:16">
      <c r="A15" t="s">
        <v>219</v>
      </c>
      <c r="B15">
        <v>7.0999999999999994E-2</v>
      </c>
      <c r="C15" t="s">
        <v>172</v>
      </c>
      <c r="E15" t="s">
        <v>211</v>
      </c>
      <c r="F15" t="s">
        <v>212</v>
      </c>
      <c r="G15" t="s">
        <v>126</v>
      </c>
      <c r="H15">
        <v>2</v>
      </c>
      <c r="I15">
        <v>-2.6450754019408218</v>
      </c>
      <c r="J15">
        <v>0.20273255405408211</v>
      </c>
      <c r="L15" t="s">
        <v>213</v>
      </c>
      <c r="M15">
        <v>0</v>
      </c>
    </row>
    <row r="16" spans="1:16">
      <c r="A16" t="s">
        <v>220</v>
      </c>
      <c r="B16">
        <v>3.1499999999999999E-6</v>
      </c>
      <c r="C16" t="s">
        <v>172</v>
      </c>
      <c r="E16" t="s">
        <v>211</v>
      </c>
      <c r="F16" t="s">
        <v>217</v>
      </c>
      <c r="G16" t="s">
        <v>126</v>
      </c>
      <c r="H16">
        <v>2</v>
      </c>
      <c r="I16">
        <v>-12.668108105126731</v>
      </c>
      <c r="J16">
        <v>0.20273255405408211</v>
      </c>
      <c r="L16" t="s">
        <v>213</v>
      </c>
      <c r="M16">
        <v>0</v>
      </c>
    </row>
    <row r="17" spans="1:16">
      <c r="A17" t="s">
        <v>221</v>
      </c>
      <c r="B17">
        <v>4.7000000000000002E-3</v>
      </c>
      <c r="C17" t="s">
        <v>172</v>
      </c>
      <c r="E17" t="s">
        <v>119</v>
      </c>
      <c r="F17" t="s">
        <v>222</v>
      </c>
      <c r="G17" t="s">
        <v>126</v>
      </c>
      <c r="H17">
        <v>2</v>
      </c>
      <c r="I17">
        <v>-5.3601927702661243</v>
      </c>
      <c r="J17">
        <v>0.13118213223374561</v>
      </c>
      <c r="L17" t="s">
        <v>324</v>
      </c>
      <c r="M17">
        <v>0</v>
      </c>
    </row>
    <row r="18" spans="1:16">
      <c r="A18" t="s">
        <v>201</v>
      </c>
      <c r="B18">
        <v>1</v>
      </c>
      <c r="C18" t="s">
        <v>1413</v>
      </c>
      <c r="D18" t="s">
        <v>194</v>
      </c>
      <c r="E18" t="s">
        <v>8</v>
      </c>
      <c r="F18" t="s">
        <v>224</v>
      </c>
      <c r="G18" t="s">
        <v>24</v>
      </c>
      <c r="K18">
        <v>100</v>
      </c>
      <c r="L18" t="s">
        <v>225</v>
      </c>
      <c r="O18" t="s">
        <v>159</v>
      </c>
    </row>
    <row r="19" spans="1:16">
      <c r="A19" t="s">
        <v>226</v>
      </c>
      <c r="B19">
        <v>1.3600000000000001E-12</v>
      </c>
      <c r="C19" t="s">
        <v>1413</v>
      </c>
      <c r="D19" t="s">
        <v>194</v>
      </c>
      <c r="E19" t="s">
        <v>7</v>
      </c>
      <c r="F19" t="s">
        <v>227</v>
      </c>
      <c r="G19" t="s">
        <v>26</v>
      </c>
      <c r="H19">
        <v>2</v>
      </c>
      <c r="I19">
        <v>-27.323536416180591</v>
      </c>
      <c r="J19">
        <v>2.439508208471609E-2</v>
      </c>
      <c r="L19" t="s">
        <v>228</v>
      </c>
      <c r="M19">
        <v>0</v>
      </c>
      <c r="N19" t="s">
        <v>226</v>
      </c>
      <c r="O19" t="s">
        <v>226</v>
      </c>
    </row>
    <row r="20" spans="1:16">
      <c r="A20" t="s">
        <v>229</v>
      </c>
      <c r="B20">
        <v>1.3600000000000001E-12</v>
      </c>
      <c r="C20" t="s">
        <v>1413</v>
      </c>
      <c r="D20" t="s">
        <v>194</v>
      </c>
      <c r="E20" t="s">
        <v>7</v>
      </c>
      <c r="F20" t="s">
        <v>227</v>
      </c>
      <c r="G20" t="s">
        <v>26</v>
      </c>
      <c r="H20">
        <v>0</v>
      </c>
      <c r="I20">
        <v>1.3600000000000001E-12</v>
      </c>
      <c r="N20" t="s">
        <v>229</v>
      </c>
      <c r="O20" t="s">
        <v>229</v>
      </c>
    </row>
    <row r="21" spans="1:16">
      <c r="A21" t="s">
        <v>325</v>
      </c>
      <c r="B21">
        <v>1.95E-6</v>
      </c>
      <c r="C21" t="s">
        <v>1413</v>
      </c>
      <c r="D21" t="s">
        <v>194</v>
      </c>
      <c r="E21" t="s">
        <v>38</v>
      </c>
      <c r="F21" t="s">
        <v>227</v>
      </c>
      <c r="G21" t="s">
        <v>26</v>
      </c>
      <c r="H21">
        <v>2</v>
      </c>
      <c r="I21">
        <v>-13.14768118538862</v>
      </c>
      <c r="J21">
        <v>6.9880971187579383E-2</v>
      </c>
      <c r="L21" t="s">
        <v>231</v>
      </c>
      <c r="M21">
        <v>0</v>
      </c>
      <c r="N21" t="s">
        <v>325</v>
      </c>
      <c r="O21" t="s">
        <v>325</v>
      </c>
    </row>
    <row r="22" spans="1:16">
      <c r="A22" t="s">
        <v>232</v>
      </c>
      <c r="B22">
        <v>5.9800000000000006E-8</v>
      </c>
      <c r="C22" t="s">
        <v>171</v>
      </c>
      <c r="D22" t="s">
        <v>20</v>
      </c>
      <c r="E22" t="s">
        <v>38</v>
      </c>
      <c r="F22" t="s">
        <v>227</v>
      </c>
      <c r="G22" t="s">
        <v>26</v>
      </c>
      <c r="H22">
        <v>2</v>
      </c>
      <c r="I22">
        <v>-16.632260175989821</v>
      </c>
      <c r="J22">
        <v>6.9880971187579383E-2</v>
      </c>
      <c r="L22" t="s">
        <v>233</v>
      </c>
      <c r="M22">
        <v>0</v>
      </c>
      <c r="N22" t="s">
        <v>234</v>
      </c>
      <c r="O22" t="s">
        <v>234</v>
      </c>
      <c r="P22" t="s">
        <v>235</v>
      </c>
    </row>
    <row r="23" spans="1:16">
      <c r="A23" t="s">
        <v>236</v>
      </c>
      <c r="B23">
        <v>3.3500000000000002E-8</v>
      </c>
      <c r="C23" t="s">
        <v>171</v>
      </c>
      <c r="D23" t="s">
        <v>20</v>
      </c>
      <c r="E23" t="s">
        <v>38</v>
      </c>
      <c r="F23" t="s">
        <v>227</v>
      </c>
      <c r="G23" t="s">
        <v>26</v>
      </c>
      <c r="H23">
        <v>2</v>
      </c>
      <c r="I23">
        <v>-17.211720398115389</v>
      </c>
      <c r="J23">
        <v>0.1115717756571049</v>
      </c>
      <c r="L23" t="s">
        <v>223</v>
      </c>
      <c r="M23">
        <v>0</v>
      </c>
      <c r="N23" t="s">
        <v>237</v>
      </c>
      <c r="O23" t="s">
        <v>237</v>
      </c>
      <c r="P23" t="s">
        <v>238</v>
      </c>
    </row>
    <row r="24" spans="1:16">
      <c r="A24" t="s">
        <v>239</v>
      </c>
      <c r="B24">
        <v>5.9800000000000006E-8</v>
      </c>
      <c r="C24" t="s">
        <v>171</v>
      </c>
      <c r="D24" t="s">
        <v>20</v>
      </c>
      <c r="E24" t="s">
        <v>38</v>
      </c>
      <c r="F24" t="s">
        <v>227</v>
      </c>
      <c r="G24" t="s">
        <v>26</v>
      </c>
      <c r="H24">
        <v>2</v>
      </c>
      <c r="I24">
        <v>-16.632260175989821</v>
      </c>
      <c r="J24">
        <v>6.9880971187579383E-2</v>
      </c>
      <c r="L24" t="s">
        <v>223</v>
      </c>
      <c r="M24">
        <v>0</v>
      </c>
      <c r="N24" t="s">
        <v>240</v>
      </c>
      <c r="O24" t="s">
        <v>240</v>
      </c>
      <c r="P24" t="s">
        <v>241</v>
      </c>
    </row>
    <row r="25" spans="1:16">
      <c r="A25" t="s">
        <v>242</v>
      </c>
      <c r="B25">
        <v>2.4300000000000001E-5</v>
      </c>
      <c r="C25" t="s">
        <v>171</v>
      </c>
      <c r="D25" t="s">
        <v>20</v>
      </c>
      <c r="E25" t="s">
        <v>38</v>
      </c>
      <c r="F25" t="s">
        <v>227</v>
      </c>
      <c r="G25" t="s">
        <v>26</v>
      </c>
      <c r="H25">
        <v>2</v>
      </c>
      <c r="I25">
        <v>-10.62503420761777</v>
      </c>
      <c r="J25">
        <v>0.13118213223374561</v>
      </c>
      <c r="L25" t="s">
        <v>223</v>
      </c>
      <c r="M25">
        <v>0</v>
      </c>
      <c r="N25" t="s">
        <v>244</v>
      </c>
      <c r="O25" t="s">
        <v>244</v>
      </c>
      <c r="P25" t="s">
        <v>245</v>
      </c>
    </row>
    <row r="26" spans="1:16">
      <c r="A26" t="s">
        <v>246</v>
      </c>
      <c r="B26">
        <v>1.64E-6</v>
      </c>
      <c r="C26" t="s">
        <v>171</v>
      </c>
      <c r="D26" t="s">
        <v>155</v>
      </c>
      <c r="E26" t="s">
        <v>38</v>
      </c>
      <c r="F26" t="s">
        <v>247</v>
      </c>
      <c r="G26" t="s">
        <v>26</v>
      </c>
      <c r="H26">
        <v>2</v>
      </c>
      <c r="I26">
        <v>-13.320814316128169</v>
      </c>
      <c r="J26">
        <v>0.13118213223374561</v>
      </c>
      <c r="L26" t="s">
        <v>223</v>
      </c>
      <c r="M26">
        <v>0</v>
      </c>
      <c r="N26" t="s">
        <v>248</v>
      </c>
      <c r="O26" t="s">
        <v>248</v>
      </c>
      <c r="P26" t="s">
        <v>249</v>
      </c>
    </row>
    <row r="27" spans="1:16">
      <c r="A27" t="s">
        <v>250</v>
      </c>
      <c r="B27">
        <v>1.5599999999999999E-7</v>
      </c>
      <c r="C27" t="s">
        <v>171</v>
      </c>
      <c r="D27" t="s">
        <v>20</v>
      </c>
      <c r="E27" t="s">
        <v>38</v>
      </c>
      <c r="F27" t="s">
        <v>227</v>
      </c>
      <c r="G27" t="s">
        <v>26</v>
      </c>
      <c r="H27">
        <v>2</v>
      </c>
      <c r="I27">
        <v>-15.673409829696871</v>
      </c>
      <c r="J27">
        <v>0.13118213223374561</v>
      </c>
      <c r="L27" t="s">
        <v>223</v>
      </c>
      <c r="M27">
        <v>0</v>
      </c>
      <c r="N27" t="s">
        <v>251</v>
      </c>
      <c r="O27" t="s">
        <v>251</v>
      </c>
      <c r="P27" t="s">
        <v>252</v>
      </c>
    </row>
    <row r="28" spans="1:16">
      <c r="A28" t="s">
        <v>253</v>
      </c>
      <c r="B28">
        <v>1.8E-7</v>
      </c>
      <c r="C28" t="s">
        <v>171</v>
      </c>
      <c r="D28" t="s">
        <v>34</v>
      </c>
      <c r="E28" t="s">
        <v>38</v>
      </c>
      <c r="F28" t="s">
        <v>227</v>
      </c>
      <c r="G28" t="s">
        <v>26</v>
      </c>
      <c r="H28">
        <v>2</v>
      </c>
      <c r="I28">
        <v>-15.5303089860562</v>
      </c>
      <c r="J28">
        <v>9.1160778396977241E-2</v>
      </c>
      <c r="L28" t="s">
        <v>243</v>
      </c>
      <c r="M28">
        <v>0</v>
      </c>
      <c r="N28" t="s">
        <v>254</v>
      </c>
      <c r="O28" t="s">
        <v>254</v>
      </c>
      <c r="P28" t="s">
        <v>255</v>
      </c>
    </row>
    <row r="29" spans="1:16">
      <c r="A29" t="s">
        <v>256</v>
      </c>
      <c r="B29">
        <v>5.9800000000000006E-8</v>
      </c>
      <c r="C29" t="s">
        <v>171</v>
      </c>
      <c r="D29" t="s">
        <v>20</v>
      </c>
      <c r="E29" t="s">
        <v>38</v>
      </c>
      <c r="F29" t="s">
        <v>227</v>
      </c>
      <c r="G29" t="s">
        <v>26</v>
      </c>
      <c r="H29">
        <v>2</v>
      </c>
      <c r="I29">
        <v>-16.632260175989821</v>
      </c>
      <c r="J29">
        <v>6.9880971187579383E-2</v>
      </c>
      <c r="L29" t="s">
        <v>223</v>
      </c>
      <c r="M29">
        <v>0</v>
      </c>
      <c r="N29" t="s">
        <v>257</v>
      </c>
      <c r="O29" t="s">
        <v>257</v>
      </c>
      <c r="P29" t="s">
        <v>258</v>
      </c>
    </row>
    <row r="30" spans="1:16">
      <c r="A30" t="s">
        <v>259</v>
      </c>
      <c r="B30">
        <v>8.5499999999999997E-7</v>
      </c>
      <c r="C30" t="s">
        <v>171</v>
      </c>
      <c r="D30" t="s">
        <v>155</v>
      </c>
      <c r="E30" t="s">
        <v>38</v>
      </c>
      <c r="F30" t="s">
        <v>227</v>
      </c>
      <c r="G30" t="s">
        <v>26</v>
      </c>
      <c r="H30">
        <v>2</v>
      </c>
      <c r="I30">
        <v>-13.972164368009651</v>
      </c>
      <c r="J30">
        <v>0.13118213223374561</v>
      </c>
      <c r="L30" t="s">
        <v>223</v>
      </c>
      <c r="M30">
        <v>0</v>
      </c>
      <c r="N30" t="s">
        <v>260</v>
      </c>
      <c r="O30" t="s">
        <v>260</v>
      </c>
      <c r="P30" t="s">
        <v>261</v>
      </c>
    </row>
    <row r="31" spans="1:16">
      <c r="A31" t="s">
        <v>262</v>
      </c>
      <c r="B31">
        <v>2.1799999999999999E-6</v>
      </c>
      <c r="C31" t="s">
        <v>171</v>
      </c>
      <c r="D31" t="s">
        <v>34</v>
      </c>
      <c r="E31" t="s">
        <v>38</v>
      </c>
      <c r="F31" t="s">
        <v>227</v>
      </c>
      <c r="G31" t="s">
        <v>26</v>
      </c>
      <c r="H31">
        <v>2</v>
      </c>
      <c r="I31">
        <v>-13.03618568116328</v>
      </c>
      <c r="J31">
        <v>0.1115717756571049</v>
      </c>
      <c r="L31" t="s">
        <v>223</v>
      </c>
      <c r="M31">
        <v>0</v>
      </c>
      <c r="N31" t="s">
        <v>263</v>
      </c>
      <c r="O31" t="s">
        <v>263</v>
      </c>
      <c r="P31" t="s">
        <v>264</v>
      </c>
    </row>
    <row r="32" spans="1:16">
      <c r="A32" t="s">
        <v>183</v>
      </c>
      <c r="B32">
        <v>1.2899999999999999E-6</v>
      </c>
      <c r="C32" t="s">
        <v>171</v>
      </c>
      <c r="D32" t="s">
        <v>34</v>
      </c>
      <c r="E32" t="s">
        <v>38</v>
      </c>
      <c r="F32" t="s">
        <v>227</v>
      </c>
      <c r="G32" t="s">
        <v>26</v>
      </c>
      <c r="H32">
        <v>2</v>
      </c>
      <c r="I32">
        <v>-13.560868339590691</v>
      </c>
      <c r="J32">
        <v>9.1160778396977241E-2</v>
      </c>
      <c r="L32" t="s">
        <v>223</v>
      </c>
      <c r="M32">
        <v>0</v>
      </c>
      <c r="N32" t="s">
        <v>184</v>
      </c>
      <c r="O32" t="s">
        <v>184</v>
      </c>
      <c r="P32" t="s">
        <v>265</v>
      </c>
    </row>
    <row r="33" spans="1:16">
      <c r="A33" t="s">
        <v>1005</v>
      </c>
      <c r="B33">
        <v>9.0900000000000007E-9</v>
      </c>
      <c r="C33" t="s">
        <v>171</v>
      </c>
      <c r="D33" t="s">
        <v>155</v>
      </c>
      <c r="E33" t="s">
        <v>119</v>
      </c>
      <c r="F33" t="s">
        <v>227</v>
      </c>
      <c r="G33" t="s">
        <v>26</v>
      </c>
      <c r="H33">
        <v>2</v>
      </c>
      <c r="I33">
        <v>-18.51609092875702</v>
      </c>
      <c r="J33">
        <v>0.13118213223374561</v>
      </c>
      <c r="L33" t="s">
        <v>223</v>
      </c>
      <c r="M33">
        <v>0</v>
      </c>
      <c r="N33" t="s">
        <v>1003</v>
      </c>
      <c r="O33" t="s">
        <v>1003</v>
      </c>
      <c r="P33" t="s">
        <v>266</v>
      </c>
    </row>
    <row r="34" spans="1:16">
      <c r="A34" t="s">
        <v>267</v>
      </c>
      <c r="B34">
        <v>3.4400000000000001E-4</v>
      </c>
      <c r="C34" t="s">
        <v>171</v>
      </c>
      <c r="D34" t="s">
        <v>34</v>
      </c>
      <c r="E34" t="s">
        <v>33</v>
      </c>
      <c r="F34" t="s">
        <v>227</v>
      </c>
      <c r="G34" t="s">
        <v>26</v>
      </c>
      <c r="H34">
        <v>2</v>
      </c>
      <c r="I34">
        <v>-7.9748689005908746</v>
      </c>
      <c r="J34">
        <v>0.13118213223374561</v>
      </c>
      <c r="L34" t="s">
        <v>223</v>
      </c>
      <c r="M34">
        <v>0</v>
      </c>
      <c r="N34" t="s">
        <v>268</v>
      </c>
      <c r="O34" t="s">
        <v>268</v>
      </c>
      <c r="P34" t="s">
        <v>269</v>
      </c>
    </row>
    <row r="35" spans="1:16">
      <c r="A35" t="s">
        <v>270</v>
      </c>
      <c r="B35">
        <v>4.07E-6</v>
      </c>
      <c r="C35" t="s">
        <v>171</v>
      </c>
      <c r="D35" t="s">
        <v>20</v>
      </c>
      <c r="E35" t="s">
        <v>38</v>
      </c>
      <c r="F35" t="s">
        <v>227</v>
      </c>
      <c r="G35" t="s">
        <v>26</v>
      </c>
      <c r="H35">
        <v>2</v>
      </c>
      <c r="I35">
        <v>-12.411867558509771</v>
      </c>
      <c r="J35">
        <v>0.13118213223374561</v>
      </c>
      <c r="L35" t="s">
        <v>223</v>
      </c>
      <c r="M35">
        <v>0</v>
      </c>
      <c r="N35" t="s">
        <v>271</v>
      </c>
      <c r="O35" t="s">
        <v>271</v>
      </c>
      <c r="P35" t="s">
        <v>272</v>
      </c>
    </row>
    <row r="36" spans="1:16">
      <c r="A36" t="s">
        <v>1255</v>
      </c>
      <c r="B36">
        <v>9.5699999999999999E-6</v>
      </c>
      <c r="C36" t="s">
        <v>171</v>
      </c>
      <c r="D36" t="s">
        <v>20</v>
      </c>
      <c r="E36" t="s">
        <v>38</v>
      </c>
      <c r="F36" t="s">
        <v>227</v>
      </c>
      <c r="G36" t="s">
        <v>26</v>
      </c>
      <c r="H36">
        <v>2</v>
      </c>
      <c r="I36">
        <v>-11.556877352499409</v>
      </c>
      <c r="J36">
        <v>0.13118213223374561</v>
      </c>
      <c r="L36" t="s">
        <v>223</v>
      </c>
      <c r="M36">
        <v>0</v>
      </c>
      <c r="N36" t="s">
        <v>273</v>
      </c>
      <c r="O36" t="s">
        <v>1256</v>
      </c>
      <c r="P36" t="s">
        <v>274</v>
      </c>
    </row>
    <row r="37" spans="1:16">
      <c r="A37" t="s">
        <v>275</v>
      </c>
      <c r="B37">
        <v>1.5099999999999999E-6</v>
      </c>
      <c r="C37" t="s">
        <v>171</v>
      </c>
      <c r="D37" t="s">
        <v>20</v>
      </c>
      <c r="E37" t="s">
        <v>38</v>
      </c>
      <c r="F37" t="s">
        <v>227</v>
      </c>
      <c r="G37" t="s">
        <v>26</v>
      </c>
      <c r="H37">
        <v>2</v>
      </c>
      <c r="I37">
        <v>-13.40340090713744</v>
      </c>
      <c r="J37">
        <v>0.13118213223374561</v>
      </c>
      <c r="L37" t="s">
        <v>223</v>
      </c>
      <c r="M37">
        <v>0</v>
      </c>
      <c r="N37" t="s">
        <v>276</v>
      </c>
      <c r="O37" t="s">
        <v>276</v>
      </c>
      <c r="P37" t="s">
        <v>277</v>
      </c>
    </row>
    <row r="38" spans="1:16">
      <c r="A38" t="s">
        <v>278</v>
      </c>
      <c r="B38">
        <v>7.1800000000000005E-7</v>
      </c>
      <c r="C38" t="s">
        <v>171</v>
      </c>
      <c r="D38" t="s">
        <v>34</v>
      </c>
      <c r="E38" t="s">
        <v>38</v>
      </c>
      <c r="F38" t="s">
        <v>227</v>
      </c>
      <c r="G38" t="s">
        <v>26</v>
      </c>
      <c r="H38">
        <v>2</v>
      </c>
      <c r="I38">
        <v>-14.146796267898189</v>
      </c>
      <c r="J38">
        <v>0.13118213223374561</v>
      </c>
      <c r="L38" t="s">
        <v>223</v>
      </c>
      <c r="M38">
        <v>0</v>
      </c>
      <c r="N38" t="s">
        <v>279</v>
      </c>
      <c r="O38" t="s">
        <v>279</v>
      </c>
      <c r="P38" t="s">
        <v>280</v>
      </c>
    </row>
    <row r="39" spans="1:16">
      <c r="A39" t="s">
        <v>281</v>
      </c>
      <c r="B39">
        <v>5.7399999999999999E-5</v>
      </c>
      <c r="C39" t="s">
        <v>171</v>
      </c>
      <c r="D39" t="s">
        <v>20</v>
      </c>
      <c r="E39" t="s">
        <v>38</v>
      </c>
      <c r="F39" t="s">
        <v>227</v>
      </c>
      <c r="G39" t="s">
        <v>26</v>
      </c>
      <c r="H39">
        <v>2</v>
      </c>
      <c r="I39">
        <v>-9.7654662546387527</v>
      </c>
      <c r="J39">
        <v>0.13118213223374561</v>
      </c>
      <c r="L39" t="s">
        <v>223</v>
      </c>
      <c r="M39">
        <v>0</v>
      </c>
      <c r="N39" t="s">
        <v>282</v>
      </c>
      <c r="O39" t="s">
        <v>282</v>
      </c>
      <c r="P39" t="s">
        <v>283</v>
      </c>
    </row>
    <row r="40" spans="1:16">
      <c r="A40" t="s">
        <v>284</v>
      </c>
      <c r="B40">
        <v>8.8999999999999999E-14</v>
      </c>
      <c r="C40" t="s">
        <v>171</v>
      </c>
      <c r="D40" t="s">
        <v>34</v>
      </c>
      <c r="E40" t="s">
        <v>7</v>
      </c>
      <c r="F40" t="s">
        <v>247</v>
      </c>
      <c r="G40" t="s">
        <v>26</v>
      </c>
      <c r="H40">
        <v>2</v>
      </c>
      <c r="I40">
        <v>-20.146652472642419</v>
      </c>
      <c r="J40">
        <v>9.1160778396977241E-2</v>
      </c>
      <c r="L40" t="s">
        <v>223</v>
      </c>
      <c r="M40">
        <v>0</v>
      </c>
      <c r="N40" t="s">
        <v>285</v>
      </c>
      <c r="O40" t="s">
        <v>285</v>
      </c>
      <c r="P40" t="s">
        <v>286</v>
      </c>
    </row>
    <row r="41" spans="1:16">
      <c r="A41" t="s">
        <v>287</v>
      </c>
      <c r="B41">
        <v>1.56E-5</v>
      </c>
      <c r="C41" t="s">
        <v>171</v>
      </c>
      <c r="D41" t="s">
        <v>20</v>
      </c>
      <c r="E41" t="s">
        <v>38</v>
      </c>
      <c r="F41" t="s">
        <v>227</v>
      </c>
      <c r="G41" t="s">
        <v>26</v>
      </c>
      <c r="H41">
        <v>2</v>
      </c>
      <c r="I41">
        <v>-11.068239643708781</v>
      </c>
      <c r="J41">
        <v>0.13118213223374561</v>
      </c>
      <c r="L41" t="s">
        <v>223</v>
      </c>
      <c r="M41">
        <v>0</v>
      </c>
      <c r="N41" t="s">
        <v>288</v>
      </c>
      <c r="O41" t="s">
        <v>288</v>
      </c>
      <c r="P41" t="s">
        <v>289</v>
      </c>
    </row>
    <row r="42" spans="1:16">
      <c r="A42" t="s">
        <v>290</v>
      </c>
      <c r="B42">
        <v>5.9800000000000003E-7</v>
      </c>
      <c r="C42" t="s">
        <v>171</v>
      </c>
      <c r="D42" t="s">
        <v>20</v>
      </c>
      <c r="E42" t="s">
        <v>38</v>
      </c>
      <c r="F42" t="s">
        <v>227</v>
      </c>
      <c r="G42" t="s">
        <v>26</v>
      </c>
      <c r="H42">
        <v>2</v>
      </c>
      <c r="I42">
        <v>-14.329675082995781</v>
      </c>
      <c r="J42">
        <v>0.13118213223374561</v>
      </c>
      <c r="L42" t="s">
        <v>223</v>
      </c>
      <c r="M42">
        <v>0</v>
      </c>
      <c r="N42" t="s">
        <v>291</v>
      </c>
      <c r="O42" t="s">
        <v>291</v>
      </c>
      <c r="P42" t="s">
        <v>292</v>
      </c>
    </row>
    <row r="43" spans="1:16">
      <c r="A43" t="s">
        <v>293</v>
      </c>
      <c r="B43">
        <v>4.3700000000000001E-7</v>
      </c>
      <c r="C43" t="s">
        <v>171</v>
      </c>
      <c r="D43" t="s">
        <v>34</v>
      </c>
      <c r="E43" t="s">
        <v>38</v>
      </c>
      <c r="F43" t="s">
        <v>227</v>
      </c>
      <c r="G43" t="s">
        <v>26</v>
      </c>
      <c r="H43">
        <v>2</v>
      </c>
      <c r="I43">
        <v>-14.643332641850821</v>
      </c>
      <c r="J43">
        <v>0.13118213223374561</v>
      </c>
      <c r="L43" t="s">
        <v>298</v>
      </c>
      <c r="M43">
        <v>0</v>
      </c>
      <c r="N43" t="s">
        <v>189</v>
      </c>
      <c r="O43" t="s">
        <v>189</v>
      </c>
      <c r="P43" t="s">
        <v>294</v>
      </c>
    </row>
    <row r="44" spans="1:16">
      <c r="A44" t="s">
        <v>295</v>
      </c>
      <c r="B44">
        <v>2.4199999999999999E-5</v>
      </c>
      <c r="C44" t="s">
        <v>171</v>
      </c>
      <c r="D44" t="s">
        <v>20</v>
      </c>
      <c r="E44" t="s">
        <v>38</v>
      </c>
      <c r="F44" t="s">
        <v>227</v>
      </c>
      <c r="G44" t="s">
        <v>26</v>
      </c>
      <c r="H44">
        <v>2</v>
      </c>
      <c r="I44">
        <v>-10.62915792480163</v>
      </c>
      <c r="J44">
        <v>0.13118213223374561</v>
      </c>
      <c r="L44" t="s">
        <v>223</v>
      </c>
      <c r="M44">
        <v>0</v>
      </c>
      <c r="N44" t="s">
        <v>296</v>
      </c>
      <c r="O44" t="s">
        <v>296</v>
      </c>
      <c r="P44" t="s">
        <v>297</v>
      </c>
    </row>
    <row r="45" spans="1:16">
      <c r="A45" t="s">
        <v>39</v>
      </c>
      <c r="B45">
        <v>1.4899999999999999E-6</v>
      </c>
      <c r="C45" t="s">
        <v>171</v>
      </c>
      <c r="D45" t="s">
        <v>34</v>
      </c>
      <c r="E45" t="s">
        <v>38</v>
      </c>
      <c r="F45" t="s">
        <v>227</v>
      </c>
      <c r="G45" t="s">
        <v>26</v>
      </c>
      <c r="H45">
        <v>2</v>
      </c>
      <c r="I45">
        <v>-13.416734438006911</v>
      </c>
      <c r="J45">
        <v>0.23500181462286779</v>
      </c>
      <c r="L45" t="s">
        <v>298</v>
      </c>
      <c r="M45">
        <v>0</v>
      </c>
      <c r="N45" t="s">
        <v>40</v>
      </c>
      <c r="O45" t="s">
        <v>40</v>
      </c>
      <c r="P45" t="s">
        <v>299</v>
      </c>
    </row>
    <row r="46" spans="1:16">
      <c r="A46" t="s">
        <v>300</v>
      </c>
      <c r="B46">
        <v>5.9899999999999999E-5</v>
      </c>
      <c r="C46" t="s">
        <v>171</v>
      </c>
      <c r="D46" t="s">
        <v>20</v>
      </c>
      <c r="E46" t="s">
        <v>35</v>
      </c>
      <c r="F46" t="s">
        <v>227</v>
      </c>
      <c r="G46" t="s">
        <v>26</v>
      </c>
      <c r="H46">
        <v>2</v>
      </c>
      <c r="I46">
        <v>-9.7228340528428703</v>
      </c>
      <c r="J46">
        <v>0.37096867236468872</v>
      </c>
      <c r="L46" t="s">
        <v>301</v>
      </c>
      <c r="M46">
        <v>0</v>
      </c>
      <c r="N46" t="s">
        <v>1260</v>
      </c>
      <c r="O46" t="s">
        <v>1260</v>
      </c>
      <c r="P46" t="s">
        <v>303</v>
      </c>
    </row>
    <row r="47" spans="1:16">
      <c r="A47" t="s">
        <v>304</v>
      </c>
      <c r="B47">
        <v>2.19</v>
      </c>
      <c r="C47" t="s">
        <v>171</v>
      </c>
      <c r="D47" t="s">
        <v>194</v>
      </c>
      <c r="E47" t="s">
        <v>38</v>
      </c>
      <c r="F47" t="s">
        <v>227</v>
      </c>
      <c r="G47" t="s">
        <v>26</v>
      </c>
      <c r="H47">
        <v>2</v>
      </c>
      <c r="I47">
        <v>0.78390154382840938</v>
      </c>
      <c r="J47">
        <v>9.1160778396977241E-2</v>
      </c>
      <c r="L47" t="s">
        <v>223</v>
      </c>
      <c r="M47">
        <v>0</v>
      </c>
      <c r="N47" t="s">
        <v>305</v>
      </c>
      <c r="O47" t="s">
        <v>305</v>
      </c>
      <c r="P47" t="s">
        <v>306</v>
      </c>
    </row>
    <row r="48" spans="1:16">
      <c r="A48" t="s">
        <v>307</v>
      </c>
      <c r="B48">
        <v>-9.8200000000000008E-7</v>
      </c>
      <c r="C48" t="s">
        <v>171</v>
      </c>
      <c r="D48" t="s">
        <v>155</v>
      </c>
      <c r="E48" t="s">
        <v>38</v>
      </c>
      <c r="F48" t="s">
        <v>247</v>
      </c>
      <c r="G48" t="s">
        <v>26</v>
      </c>
      <c r="H48">
        <v>2</v>
      </c>
      <c r="I48">
        <v>-13.833674528591949</v>
      </c>
      <c r="J48">
        <v>0.13118213223374561</v>
      </c>
      <c r="L48" t="s">
        <v>223</v>
      </c>
      <c r="M48">
        <v>0</v>
      </c>
      <c r="N48" t="s">
        <v>308</v>
      </c>
      <c r="O48" t="s">
        <v>308</v>
      </c>
      <c r="P48" t="s">
        <v>309</v>
      </c>
    </row>
    <row r="49" spans="1:16">
      <c r="A49" t="s">
        <v>310</v>
      </c>
      <c r="B49">
        <v>-1.5799999999999999E-8</v>
      </c>
      <c r="C49" t="s">
        <v>171</v>
      </c>
      <c r="D49" t="s">
        <v>155</v>
      </c>
      <c r="E49" t="s">
        <v>119</v>
      </c>
      <c r="F49" t="s">
        <v>247</v>
      </c>
      <c r="G49" t="s">
        <v>26</v>
      </c>
      <c r="H49">
        <v>2</v>
      </c>
      <c r="I49">
        <v>-17.963255896913491</v>
      </c>
      <c r="J49">
        <v>0.16823611831060639</v>
      </c>
      <c r="L49" t="s">
        <v>223</v>
      </c>
      <c r="M49">
        <v>0</v>
      </c>
      <c r="N49" t="s">
        <v>311</v>
      </c>
      <c r="O49" t="s">
        <v>311</v>
      </c>
      <c r="P49" t="s">
        <v>312</v>
      </c>
    </row>
    <row r="50" spans="1:16">
      <c r="A50" t="s">
        <v>313</v>
      </c>
      <c r="B50">
        <v>-4.3700000000000002E-11</v>
      </c>
      <c r="C50" t="s">
        <v>171</v>
      </c>
      <c r="D50" t="s">
        <v>155</v>
      </c>
      <c r="E50" t="s">
        <v>119</v>
      </c>
      <c r="F50" t="s">
        <v>247</v>
      </c>
      <c r="G50" t="s">
        <v>26</v>
      </c>
      <c r="H50">
        <v>2</v>
      </c>
      <c r="I50">
        <v>-23.853673013826999</v>
      </c>
      <c r="J50">
        <v>9.1160778396977241E-2</v>
      </c>
      <c r="L50" t="s">
        <v>223</v>
      </c>
      <c r="M50">
        <v>0</v>
      </c>
      <c r="N50" t="s">
        <v>314</v>
      </c>
      <c r="O50" t="s">
        <v>314</v>
      </c>
      <c r="P50" t="s">
        <v>315</v>
      </c>
    </row>
    <row r="51" spans="1:16">
      <c r="A51" t="s">
        <v>316</v>
      </c>
      <c r="B51">
        <v>-2.21E-6</v>
      </c>
      <c r="C51" t="s">
        <v>171</v>
      </c>
      <c r="D51" t="s">
        <v>155</v>
      </c>
      <c r="E51" t="s">
        <v>38</v>
      </c>
      <c r="F51" t="s">
        <v>247</v>
      </c>
      <c r="G51" t="s">
        <v>26</v>
      </c>
      <c r="H51">
        <v>2</v>
      </c>
      <c r="I51">
        <v>-13.02251804243461</v>
      </c>
      <c r="J51">
        <v>0.13118213223374561</v>
      </c>
      <c r="L51" t="s">
        <v>223</v>
      </c>
      <c r="M51">
        <v>0</v>
      </c>
      <c r="N51" t="s">
        <v>317</v>
      </c>
      <c r="O51" t="s">
        <v>317</v>
      </c>
      <c r="P51" t="s">
        <v>318</v>
      </c>
    </row>
    <row r="52" spans="1:16">
      <c r="A52" t="s">
        <v>319</v>
      </c>
      <c r="B52">
        <v>0</v>
      </c>
      <c r="C52" t="s">
        <v>171</v>
      </c>
      <c r="D52" t="s">
        <v>155</v>
      </c>
      <c r="E52" t="s">
        <v>38</v>
      </c>
      <c r="F52" t="s">
        <v>247</v>
      </c>
      <c r="G52" t="s">
        <v>26</v>
      </c>
      <c r="H52">
        <v>0</v>
      </c>
      <c r="I52">
        <v>0</v>
      </c>
      <c r="N52" t="s">
        <v>320</v>
      </c>
      <c r="O52" t="s">
        <v>320</v>
      </c>
      <c r="P52" t="s">
        <v>321</v>
      </c>
    </row>
    <row r="53" spans="1:16">
      <c r="A53" t="s">
        <v>322</v>
      </c>
      <c r="B53">
        <v>-1.95E-6</v>
      </c>
      <c r="C53" t="s">
        <v>171</v>
      </c>
      <c r="D53" t="s">
        <v>20</v>
      </c>
      <c r="E53" t="s">
        <v>38</v>
      </c>
      <c r="F53" t="s">
        <v>247</v>
      </c>
      <c r="G53" t="s">
        <v>26</v>
      </c>
      <c r="H53">
        <v>2</v>
      </c>
      <c r="I53">
        <v>-13.14768118538862</v>
      </c>
      <c r="J53">
        <v>0</v>
      </c>
      <c r="L53" t="s">
        <v>326</v>
      </c>
      <c r="M53">
        <v>0</v>
      </c>
      <c r="N53" t="s">
        <v>320</v>
      </c>
      <c r="O53" t="s">
        <v>320</v>
      </c>
      <c r="P53" t="s">
        <v>323</v>
      </c>
    </row>
    <row r="55" spans="1:16">
      <c r="A55" s="1" t="s">
        <v>0</v>
      </c>
      <c r="B55" s="1" t="s">
        <v>327</v>
      </c>
    </row>
    <row r="56" spans="1:16">
      <c r="A56" t="s">
        <v>13</v>
      </c>
      <c r="B56" t="s">
        <v>328</v>
      </c>
    </row>
    <row r="57" spans="1:16">
      <c r="A57" t="s">
        <v>1</v>
      </c>
      <c r="B57" t="s">
        <v>20</v>
      </c>
    </row>
    <row r="58" spans="1:16">
      <c r="A58" t="s">
        <v>2</v>
      </c>
      <c r="B58">
        <v>1</v>
      </c>
    </row>
    <row r="59" spans="1:16">
      <c r="A59" t="s">
        <v>3</v>
      </c>
      <c r="B59" t="s">
        <v>327</v>
      </c>
    </row>
    <row r="60" spans="1:16">
      <c r="A60" t="s">
        <v>5</v>
      </c>
      <c r="B60" t="s">
        <v>6</v>
      </c>
    </row>
    <row r="61" spans="1:16">
      <c r="A61" t="s">
        <v>7</v>
      </c>
      <c r="B61" t="s">
        <v>7</v>
      </c>
    </row>
    <row r="62" spans="1:16">
      <c r="A62" s="1" t="s">
        <v>14</v>
      </c>
    </row>
    <row r="63" spans="1:16">
      <c r="A63" t="s">
        <v>15</v>
      </c>
      <c r="B63" t="s">
        <v>16</v>
      </c>
      <c r="C63" t="s">
        <v>17</v>
      </c>
      <c r="D63" t="s">
        <v>1</v>
      </c>
      <c r="E63" t="s">
        <v>7</v>
      </c>
      <c r="F63" t="s">
        <v>18</v>
      </c>
      <c r="G63" t="s">
        <v>5</v>
      </c>
      <c r="H63" t="s">
        <v>203</v>
      </c>
      <c r="I63" t="s">
        <v>204</v>
      </c>
      <c r="J63" t="s">
        <v>206</v>
      </c>
      <c r="K63" t="s">
        <v>13</v>
      </c>
      <c r="L63" t="s">
        <v>208</v>
      </c>
      <c r="M63" t="s">
        <v>3</v>
      </c>
      <c r="N63" t="s">
        <v>209</v>
      </c>
    </row>
    <row r="64" spans="1:16">
      <c r="A64" t="s">
        <v>327</v>
      </c>
      <c r="B64">
        <v>1</v>
      </c>
      <c r="C64" t="s">
        <v>1413</v>
      </c>
      <c r="D64" t="s">
        <v>20</v>
      </c>
      <c r="E64" t="s">
        <v>7</v>
      </c>
      <c r="F64" t="s">
        <v>224</v>
      </c>
      <c r="G64" t="s">
        <v>24</v>
      </c>
      <c r="J64">
        <v>100</v>
      </c>
      <c r="M64" t="s">
        <v>327</v>
      </c>
    </row>
    <row r="65" spans="1:14">
      <c r="A65" t="s">
        <v>41</v>
      </c>
      <c r="B65">
        <v>10.9</v>
      </c>
      <c r="C65" t="s">
        <v>171</v>
      </c>
      <c r="D65" t="s">
        <v>42</v>
      </c>
      <c r="E65" t="s">
        <v>38</v>
      </c>
      <c r="F65" t="s">
        <v>227</v>
      </c>
      <c r="G65" t="s">
        <v>26</v>
      </c>
      <c r="H65">
        <v>0</v>
      </c>
      <c r="I65">
        <v>10.9</v>
      </c>
      <c r="L65" t="s">
        <v>43</v>
      </c>
      <c r="M65" t="s">
        <v>43</v>
      </c>
      <c r="N65" t="s">
        <v>329</v>
      </c>
    </row>
    <row r="66" spans="1:14">
      <c r="A66" t="s">
        <v>67</v>
      </c>
      <c r="B66">
        <v>35.799999999999997</v>
      </c>
      <c r="C66" t="s">
        <v>171</v>
      </c>
      <c r="D66" t="s">
        <v>34</v>
      </c>
      <c r="E66" t="s">
        <v>38</v>
      </c>
      <c r="F66" t="s">
        <v>227</v>
      </c>
      <c r="G66" t="s">
        <v>26</v>
      </c>
      <c r="H66">
        <v>0</v>
      </c>
      <c r="I66">
        <v>35.799999999999997</v>
      </c>
      <c r="L66" t="s">
        <v>68</v>
      </c>
      <c r="M66" t="s">
        <v>68</v>
      </c>
      <c r="N66" t="s">
        <v>330</v>
      </c>
    </row>
    <row r="67" spans="1:14">
      <c r="A67" t="s">
        <v>80</v>
      </c>
      <c r="B67">
        <v>53.5</v>
      </c>
      <c r="C67" t="s">
        <v>171</v>
      </c>
      <c r="D67" t="s">
        <v>34</v>
      </c>
      <c r="E67" t="s">
        <v>38</v>
      </c>
      <c r="F67" t="s">
        <v>227</v>
      </c>
      <c r="G67" t="s">
        <v>26</v>
      </c>
      <c r="H67">
        <v>0</v>
      </c>
      <c r="I67">
        <v>53.5</v>
      </c>
      <c r="L67" t="s">
        <v>81</v>
      </c>
      <c r="M67" t="s">
        <v>81</v>
      </c>
      <c r="N67" t="s">
        <v>331</v>
      </c>
    </row>
    <row r="68" spans="1:14">
      <c r="A68" t="s">
        <v>39</v>
      </c>
      <c r="B68">
        <v>127</v>
      </c>
      <c r="C68" t="s">
        <v>171</v>
      </c>
      <c r="D68" t="s">
        <v>34</v>
      </c>
      <c r="E68" t="s">
        <v>38</v>
      </c>
      <c r="F68" t="s">
        <v>227</v>
      </c>
      <c r="G68" t="s">
        <v>26</v>
      </c>
      <c r="H68">
        <v>0</v>
      </c>
      <c r="I68">
        <v>127</v>
      </c>
      <c r="L68" t="s">
        <v>40</v>
      </c>
      <c r="M68" t="s">
        <v>40</v>
      </c>
      <c r="N68" t="s">
        <v>299</v>
      </c>
    </row>
    <row r="69" spans="1:14">
      <c r="A69" t="s">
        <v>1253</v>
      </c>
      <c r="B69">
        <v>45.5</v>
      </c>
      <c r="C69" t="s">
        <v>171</v>
      </c>
      <c r="D69" t="s">
        <v>169</v>
      </c>
      <c r="E69" t="s">
        <v>35</v>
      </c>
      <c r="F69" t="s">
        <v>227</v>
      </c>
      <c r="G69" t="s">
        <v>26</v>
      </c>
      <c r="H69">
        <v>0</v>
      </c>
      <c r="I69">
        <v>45.5</v>
      </c>
      <c r="L69" t="s">
        <v>1254</v>
      </c>
      <c r="M69" t="s">
        <v>1254</v>
      </c>
      <c r="N69" t="s">
        <v>332</v>
      </c>
    </row>
    <row r="70" spans="1:14">
      <c r="A70" t="s">
        <v>300</v>
      </c>
      <c r="B70">
        <v>22.7</v>
      </c>
      <c r="C70" t="s">
        <v>171</v>
      </c>
      <c r="D70" t="s">
        <v>20</v>
      </c>
      <c r="E70" t="s">
        <v>35</v>
      </c>
      <c r="F70" t="s">
        <v>227</v>
      </c>
      <c r="G70" t="s">
        <v>26</v>
      </c>
      <c r="H70">
        <v>0</v>
      </c>
      <c r="I70">
        <v>22.7</v>
      </c>
      <c r="L70" t="s">
        <v>302</v>
      </c>
      <c r="M70" t="s">
        <v>1260</v>
      </c>
      <c r="N70" t="s">
        <v>303</v>
      </c>
    </row>
    <row r="71" spans="1:14">
      <c r="A71" t="s">
        <v>333</v>
      </c>
      <c r="B71">
        <v>10.9</v>
      </c>
      <c r="C71" t="s">
        <v>171</v>
      </c>
      <c r="D71" t="s">
        <v>20</v>
      </c>
      <c r="E71" t="s">
        <v>38</v>
      </c>
      <c r="F71" t="s">
        <v>227</v>
      </c>
      <c r="G71" t="s">
        <v>26</v>
      </c>
      <c r="H71">
        <v>0</v>
      </c>
      <c r="I71">
        <v>10.9</v>
      </c>
      <c r="M71" t="s">
        <v>333</v>
      </c>
      <c r="N71" t="s">
        <v>334</v>
      </c>
    </row>
    <row r="72" spans="1:14">
      <c r="A72" t="s">
        <v>191</v>
      </c>
      <c r="B72">
        <v>127</v>
      </c>
      <c r="C72" t="s">
        <v>171</v>
      </c>
      <c r="D72" t="s">
        <v>20</v>
      </c>
      <c r="E72" t="s">
        <v>38</v>
      </c>
      <c r="F72" t="s">
        <v>227</v>
      </c>
      <c r="G72" t="s">
        <v>26</v>
      </c>
      <c r="H72">
        <v>0</v>
      </c>
      <c r="I72">
        <v>127</v>
      </c>
      <c r="M72" t="s">
        <v>191</v>
      </c>
      <c r="N72" t="s">
        <v>335</v>
      </c>
    </row>
    <row r="73" spans="1:14">
      <c r="A73" t="s">
        <v>193</v>
      </c>
      <c r="B73">
        <v>35.799999999999997</v>
      </c>
      <c r="C73" t="s">
        <v>171</v>
      </c>
      <c r="D73" t="s">
        <v>20</v>
      </c>
      <c r="E73" t="s">
        <v>38</v>
      </c>
      <c r="F73" t="s">
        <v>227</v>
      </c>
      <c r="G73" t="s">
        <v>26</v>
      </c>
      <c r="H73">
        <v>0</v>
      </c>
      <c r="I73">
        <v>35.799999999999997</v>
      </c>
      <c r="M73" t="s">
        <v>193</v>
      </c>
      <c r="N73" t="s">
        <v>336</v>
      </c>
    </row>
    <row r="75" spans="1:14">
      <c r="A75" s="1" t="s">
        <v>0</v>
      </c>
      <c r="B75" s="1" t="s">
        <v>337</v>
      </c>
    </row>
    <row r="76" spans="1:14">
      <c r="A76" t="s">
        <v>13</v>
      </c>
      <c r="B76" t="s">
        <v>328</v>
      </c>
    </row>
    <row r="77" spans="1:14">
      <c r="A77" t="s">
        <v>1</v>
      </c>
      <c r="B77" t="s">
        <v>20</v>
      </c>
    </row>
    <row r="78" spans="1:14">
      <c r="A78" t="s">
        <v>2</v>
      </c>
      <c r="B78">
        <v>1</v>
      </c>
    </row>
    <row r="79" spans="1:14">
      <c r="A79" t="s">
        <v>3</v>
      </c>
      <c r="B79" t="s">
        <v>337</v>
      </c>
    </row>
    <row r="80" spans="1:14">
      <c r="A80" t="s">
        <v>5</v>
      </c>
      <c r="B80" t="s">
        <v>6</v>
      </c>
    </row>
    <row r="81" spans="1:14">
      <c r="A81" t="s">
        <v>7</v>
      </c>
      <c r="B81" t="s">
        <v>7</v>
      </c>
    </row>
    <row r="82" spans="1:14">
      <c r="A82" s="1" t="s">
        <v>14</v>
      </c>
    </row>
    <row r="83" spans="1:14">
      <c r="A83" t="s">
        <v>15</v>
      </c>
      <c r="B83" t="s">
        <v>16</v>
      </c>
      <c r="C83" t="s">
        <v>17</v>
      </c>
      <c r="D83" t="s">
        <v>1</v>
      </c>
      <c r="E83" t="s">
        <v>7</v>
      </c>
      <c r="F83" t="s">
        <v>18</v>
      </c>
      <c r="G83" t="s">
        <v>5</v>
      </c>
      <c r="H83" t="s">
        <v>203</v>
      </c>
      <c r="I83" t="s">
        <v>204</v>
      </c>
      <c r="J83" t="s">
        <v>206</v>
      </c>
      <c r="K83" t="s">
        <v>13</v>
      </c>
      <c r="L83" t="s">
        <v>208</v>
      </c>
      <c r="M83" t="s">
        <v>3</v>
      </c>
      <c r="N83" t="s">
        <v>209</v>
      </c>
    </row>
    <row r="84" spans="1:14">
      <c r="A84" t="s">
        <v>337</v>
      </c>
      <c r="B84">
        <v>1</v>
      </c>
      <c r="C84" t="s">
        <v>1413</v>
      </c>
      <c r="D84" t="s">
        <v>20</v>
      </c>
      <c r="E84" t="s">
        <v>7</v>
      </c>
      <c r="F84" t="s">
        <v>224</v>
      </c>
      <c r="G84" t="s">
        <v>24</v>
      </c>
      <c r="J84">
        <v>100</v>
      </c>
      <c r="M84" t="s">
        <v>337</v>
      </c>
    </row>
    <row r="85" spans="1:14">
      <c r="A85" t="s">
        <v>293</v>
      </c>
      <c r="B85">
        <v>3030</v>
      </c>
      <c r="C85" t="s">
        <v>171</v>
      </c>
      <c r="D85" t="s">
        <v>34</v>
      </c>
      <c r="E85" t="s">
        <v>38</v>
      </c>
      <c r="F85" t="s">
        <v>227</v>
      </c>
      <c r="G85" t="s">
        <v>26</v>
      </c>
      <c r="H85">
        <v>0</v>
      </c>
      <c r="I85">
        <v>3030</v>
      </c>
      <c r="L85" t="s">
        <v>189</v>
      </c>
      <c r="M85" t="s">
        <v>189</v>
      </c>
      <c r="N85" t="s">
        <v>294</v>
      </c>
    </row>
    <row r="86" spans="1:14">
      <c r="A86" t="s">
        <v>1253</v>
      </c>
      <c r="B86">
        <v>667</v>
      </c>
      <c r="C86" t="s">
        <v>171</v>
      </c>
      <c r="D86" t="s">
        <v>169</v>
      </c>
      <c r="E86" t="s">
        <v>35</v>
      </c>
      <c r="F86" t="s">
        <v>227</v>
      </c>
      <c r="G86" t="s">
        <v>26</v>
      </c>
      <c r="H86">
        <v>0</v>
      </c>
      <c r="I86">
        <v>667</v>
      </c>
      <c r="L86" t="s">
        <v>1254</v>
      </c>
      <c r="M86" t="s">
        <v>1254</v>
      </c>
      <c r="N86" t="s">
        <v>332</v>
      </c>
    </row>
    <row r="87" spans="1:14">
      <c r="A87" t="s">
        <v>300</v>
      </c>
      <c r="B87">
        <v>334</v>
      </c>
      <c r="C87" t="s">
        <v>171</v>
      </c>
      <c r="D87" t="s">
        <v>20</v>
      </c>
      <c r="E87" t="s">
        <v>35</v>
      </c>
      <c r="F87" t="s">
        <v>227</v>
      </c>
      <c r="G87" t="s">
        <v>26</v>
      </c>
      <c r="H87">
        <v>0</v>
      </c>
      <c r="I87">
        <v>334</v>
      </c>
      <c r="L87" t="s">
        <v>302</v>
      </c>
      <c r="M87" t="s">
        <v>1260</v>
      </c>
      <c r="N87" t="s">
        <v>303</v>
      </c>
    </row>
    <row r="88" spans="1:14">
      <c r="A88" t="s">
        <v>191</v>
      </c>
      <c r="B88">
        <v>3030</v>
      </c>
      <c r="C88" t="s">
        <v>171</v>
      </c>
      <c r="D88" t="s">
        <v>20</v>
      </c>
      <c r="E88" t="s">
        <v>38</v>
      </c>
      <c r="F88" t="s">
        <v>227</v>
      </c>
      <c r="G88" t="s">
        <v>26</v>
      </c>
      <c r="H88">
        <v>0</v>
      </c>
      <c r="I88">
        <v>3030</v>
      </c>
      <c r="M88" t="s">
        <v>191</v>
      </c>
      <c r="N88" t="s">
        <v>335</v>
      </c>
    </row>
    <row r="90" spans="1:14">
      <c r="A90" s="1" t="s">
        <v>0</v>
      </c>
      <c r="B90" s="1" t="s">
        <v>338</v>
      </c>
    </row>
    <row r="91" spans="1:14">
      <c r="A91" t="s">
        <v>13</v>
      </c>
      <c r="B91" t="s">
        <v>328</v>
      </c>
    </row>
    <row r="92" spans="1:14">
      <c r="A92" t="s">
        <v>1</v>
      </c>
      <c r="B92" t="s">
        <v>20</v>
      </c>
    </row>
    <row r="93" spans="1:14">
      <c r="A93" t="s">
        <v>2</v>
      </c>
      <c r="B93">
        <v>1</v>
      </c>
    </row>
    <row r="94" spans="1:14">
      <c r="A94" t="s">
        <v>3</v>
      </c>
      <c r="B94" t="s">
        <v>338</v>
      </c>
    </row>
    <row r="95" spans="1:14">
      <c r="A95" t="s">
        <v>5</v>
      </c>
      <c r="B95" t="s">
        <v>6</v>
      </c>
    </row>
    <row r="96" spans="1:14">
      <c r="A96" t="s">
        <v>7</v>
      </c>
      <c r="B96" t="s">
        <v>131</v>
      </c>
    </row>
    <row r="97" spans="1:14">
      <c r="A97" s="1" t="s">
        <v>14</v>
      </c>
    </row>
    <row r="98" spans="1:14">
      <c r="A98" t="s">
        <v>15</v>
      </c>
      <c r="B98" t="s">
        <v>16</v>
      </c>
      <c r="C98" t="s">
        <v>17</v>
      </c>
      <c r="D98" t="s">
        <v>1</v>
      </c>
      <c r="E98" t="s">
        <v>7</v>
      </c>
      <c r="F98" t="s">
        <v>18</v>
      </c>
      <c r="G98" t="s">
        <v>5</v>
      </c>
      <c r="H98" t="s">
        <v>203</v>
      </c>
      <c r="I98" t="s">
        <v>204</v>
      </c>
      <c r="J98" t="s">
        <v>206</v>
      </c>
      <c r="K98" t="s">
        <v>13</v>
      </c>
      <c r="L98" t="s">
        <v>208</v>
      </c>
      <c r="M98" t="s">
        <v>3</v>
      </c>
      <c r="N98" t="s">
        <v>209</v>
      </c>
    </row>
    <row r="99" spans="1:14">
      <c r="A99" t="s">
        <v>338</v>
      </c>
      <c r="B99">
        <v>1</v>
      </c>
      <c r="C99" t="s">
        <v>1413</v>
      </c>
      <c r="D99" t="s">
        <v>20</v>
      </c>
      <c r="E99" t="s">
        <v>131</v>
      </c>
      <c r="F99" t="s">
        <v>224</v>
      </c>
      <c r="G99" t="s">
        <v>24</v>
      </c>
      <c r="J99">
        <v>100</v>
      </c>
      <c r="M99" t="s">
        <v>338</v>
      </c>
    </row>
    <row r="100" spans="1:14">
      <c r="A100" t="s">
        <v>67</v>
      </c>
      <c r="B100">
        <v>0.63400000000000001</v>
      </c>
      <c r="C100" t="s">
        <v>171</v>
      </c>
      <c r="D100" t="s">
        <v>34</v>
      </c>
      <c r="E100" t="s">
        <v>38</v>
      </c>
      <c r="F100" t="s">
        <v>227</v>
      </c>
      <c r="G100" t="s">
        <v>26</v>
      </c>
      <c r="H100">
        <v>0</v>
      </c>
      <c r="I100">
        <v>0.63400000000000001</v>
      </c>
      <c r="L100" t="s">
        <v>68</v>
      </c>
      <c r="M100" t="s">
        <v>68</v>
      </c>
      <c r="N100" t="s">
        <v>330</v>
      </c>
    </row>
    <row r="101" spans="1:14">
      <c r="A101" t="s">
        <v>1302</v>
      </c>
      <c r="B101">
        <v>0.29499999999999998</v>
      </c>
      <c r="C101" t="s">
        <v>171</v>
      </c>
      <c r="D101" t="s">
        <v>20</v>
      </c>
      <c r="E101" t="s">
        <v>38</v>
      </c>
      <c r="F101" t="s">
        <v>227</v>
      </c>
      <c r="G101" t="s">
        <v>26</v>
      </c>
      <c r="H101">
        <v>0</v>
      </c>
      <c r="I101">
        <v>0.29499999999999998</v>
      </c>
      <c r="L101" t="s">
        <v>1303</v>
      </c>
      <c r="M101" t="s">
        <v>1303</v>
      </c>
      <c r="N101" t="s">
        <v>339</v>
      </c>
    </row>
    <row r="102" spans="1:14">
      <c r="A102" t="s">
        <v>1253</v>
      </c>
      <c r="B102">
        <v>0.186</v>
      </c>
      <c r="C102" t="s">
        <v>171</v>
      </c>
      <c r="D102" t="s">
        <v>169</v>
      </c>
      <c r="E102" t="s">
        <v>35</v>
      </c>
      <c r="F102" t="s">
        <v>227</v>
      </c>
      <c r="G102" t="s">
        <v>26</v>
      </c>
      <c r="H102">
        <v>0</v>
      </c>
      <c r="I102">
        <v>0.186</v>
      </c>
      <c r="L102" t="s">
        <v>1254</v>
      </c>
      <c r="M102" t="s">
        <v>1254</v>
      </c>
      <c r="N102" t="s">
        <v>332</v>
      </c>
    </row>
    <row r="103" spans="1:14">
      <c r="A103" t="s">
        <v>300</v>
      </c>
      <c r="B103">
        <v>9.2899999999999996E-2</v>
      </c>
      <c r="C103" t="s">
        <v>171</v>
      </c>
      <c r="D103" t="s">
        <v>20</v>
      </c>
      <c r="E103" t="s">
        <v>35</v>
      </c>
      <c r="F103" t="s">
        <v>227</v>
      </c>
      <c r="G103" t="s">
        <v>26</v>
      </c>
      <c r="H103">
        <v>0</v>
      </c>
      <c r="I103">
        <v>9.2899999999999996E-2</v>
      </c>
      <c r="L103" t="s">
        <v>302</v>
      </c>
      <c r="M103" t="s">
        <v>1260</v>
      </c>
      <c r="N103" t="s">
        <v>303</v>
      </c>
    </row>
    <row r="104" spans="1:14">
      <c r="A104" t="s">
        <v>193</v>
      </c>
      <c r="B104">
        <v>0.63400000000000001</v>
      </c>
      <c r="C104" t="s">
        <v>171</v>
      </c>
      <c r="D104" t="s">
        <v>20</v>
      </c>
      <c r="E104" t="s">
        <v>38</v>
      </c>
      <c r="F104" t="s">
        <v>227</v>
      </c>
      <c r="G104" t="s">
        <v>26</v>
      </c>
      <c r="H104">
        <v>0</v>
      </c>
      <c r="I104">
        <v>0.63400000000000001</v>
      </c>
      <c r="M104" t="s">
        <v>193</v>
      </c>
      <c r="N104" t="s">
        <v>336</v>
      </c>
    </row>
    <row r="106" spans="1:14">
      <c r="A106" s="1" t="s">
        <v>0</v>
      </c>
      <c r="B106" s="1" t="s">
        <v>340</v>
      </c>
    </row>
    <row r="107" spans="1:14">
      <c r="A107" t="s">
        <v>13</v>
      </c>
      <c r="B107" t="s">
        <v>328</v>
      </c>
    </row>
    <row r="108" spans="1:14">
      <c r="A108" t="s">
        <v>1</v>
      </c>
      <c r="B108" t="s">
        <v>155</v>
      </c>
    </row>
    <row r="109" spans="1:14">
      <c r="A109" t="s">
        <v>2</v>
      </c>
      <c r="B109">
        <v>1</v>
      </c>
    </row>
    <row r="110" spans="1:14">
      <c r="A110" t="s">
        <v>3</v>
      </c>
      <c r="B110" t="s">
        <v>340</v>
      </c>
    </row>
    <row r="111" spans="1:14">
      <c r="A111" t="s">
        <v>5</v>
      </c>
      <c r="B111" t="s">
        <v>6</v>
      </c>
    </row>
    <row r="112" spans="1:14">
      <c r="A112" t="s">
        <v>7</v>
      </c>
      <c r="B112" t="s">
        <v>7</v>
      </c>
    </row>
    <row r="113" spans="1:14">
      <c r="A113" s="1" t="s">
        <v>14</v>
      </c>
    </row>
    <row r="114" spans="1:14">
      <c r="A114" t="s">
        <v>15</v>
      </c>
      <c r="B114" t="s">
        <v>16</v>
      </c>
      <c r="C114" t="s">
        <v>17</v>
      </c>
      <c r="D114" t="s">
        <v>1</v>
      </c>
      <c r="E114" t="s">
        <v>7</v>
      </c>
      <c r="F114" t="s">
        <v>18</v>
      </c>
      <c r="G114" t="s">
        <v>5</v>
      </c>
      <c r="H114" t="s">
        <v>203</v>
      </c>
      <c r="I114" t="s">
        <v>204</v>
      </c>
      <c r="J114" t="s">
        <v>206</v>
      </c>
      <c r="K114" t="s">
        <v>13</v>
      </c>
      <c r="L114" t="s">
        <v>208</v>
      </c>
      <c r="M114" t="s">
        <v>3</v>
      </c>
      <c r="N114" t="s">
        <v>209</v>
      </c>
    </row>
    <row r="115" spans="1:14">
      <c r="A115" t="s">
        <v>340</v>
      </c>
      <c r="B115">
        <v>1</v>
      </c>
      <c r="C115" t="s">
        <v>1413</v>
      </c>
      <c r="D115" t="s">
        <v>155</v>
      </c>
      <c r="E115" t="s">
        <v>7</v>
      </c>
      <c r="F115" t="s">
        <v>224</v>
      </c>
      <c r="G115" t="s">
        <v>24</v>
      </c>
      <c r="J115">
        <v>100</v>
      </c>
      <c r="M115" t="s">
        <v>340</v>
      </c>
    </row>
    <row r="116" spans="1:14">
      <c r="A116" t="s">
        <v>145</v>
      </c>
      <c r="B116">
        <v>160000</v>
      </c>
      <c r="C116" t="s">
        <v>171</v>
      </c>
      <c r="D116" t="s">
        <v>34</v>
      </c>
      <c r="E116" t="s">
        <v>38</v>
      </c>
      <c r="F116" t="s">
        <v>227</v>
      </c>
      <c r="G116" t="s">
        <v>26</v>
      </c>
      <c r="H116">
        <v>0</v>
      </c>
      <c r="I116">
        <v>160000</v>
      </c>
      <c r="L116" t="s">
        <v>146</v>
      </c>
      <c r="M116" t="s">
        <v>146</v>
      </c>
      <c r="N116" t="s">
        <v>341</v>
      </c>
    </row>
    <row r="117" spans="1:14">
      <c r="A117" t="s">
        <v>342</v>
      </c>
      <c r="B117">
        <v>2440000</v>
      </c>
      <c r="C117" t="s">
        <v>171</v>
      </c>
      <c r="D117" t="s">
        <v>34</v>
      </c>
      <c r="E117" t="s">
        <v>38</v>
      </c>
      <c r="F117" t="s">
        <v>227</v>
      </c>
      <c r="G117" t="s">
        <v>26</v>
      </c>
      <c r="H117">
        <v>0</v>
      </c>
      <c r="I117">
        <v>2440000</v>
      </c>
      <c r="L117" t="s">
        <v>343</v>
      </c>
      <c r="M117" t="s">
        <v>343</v>
      </c>
      <c r="N117" t="s">
        <v>344</v>
      </c>
    </row>
    <row r="118" spans="1:14">
      <c r="A118" t="s">
        <v>139</v>
      </c>
      <c r="B118">
        <v>2600000</v>
      </c>
      <c r="C118" t="s">
        <v>171</v>
      </c>
      <c r="D118" t="s">
        <v>34</v>
      </c>
      <c r="E118" t="s">
        <v>38</v>
      </c>
      <c r="F118" t="s">
        <v>227</v>
      </c>
      <c r="G118" t="s">
        <v>26</v>
      </c>
      <c r="H118">
        <v>0</v>
      </c>
      <c r="I118">
        <v>2600000</v>
      </c>
      <c r="L118" t="s">
        <v>140</v>
      </c>
      <c r="M118" t="s">
        <v>140</v>
      </c>
      <c r="N118" t="s">
        <v>345</v>
      </c>
    </row>
    <row r="119" spans="1:14">
      <c r="A119" t="s">
        <v>1253</v>
      </c>
      <c r="B119">
        <v>1720000</v>
      </c>
      <c r="C119" t="s">
        <v>171</v>
      </c>
      <c r="D119" t="s">
        <v>155</v>
      </c>
      <c r="E119" t="s">
        <v>35</v>
      </c>
      <c r="F119" t="s">
        <v>227</v>
      </c>
      <c r="G119" t="s">
        <v>26</v>
      </c>
      <c r="H119">
        <v>0</v>
      </c>
      <c r="I119">
        <v>1720000</v>
      </c>
      <c r="L119" t="s">
        <v>1254</v>
      </c>
      <c r="M119" t="s">
        <v>1254</v>
      </c>
      <c r="N119" t="s">
        <v>332</v>
      </c>
    </row>
    <row r="120" spans="1:14">
      <c r="A120" t="s">
        <v>300</v>
      </c>
      <c r="B120">
        <v>143000</v>
      </c>
      <c r="C120" t="s">
        <v>171</v>
      </c>
      <c r="D120" t="s">
        <v>20</v>
      </c>
      <c r="E120" t="s">
        <v>35</v>
      </c>
      <c r="F120" t="s">
        <v>227</v>
      </c>
      <c r="G120" t="s">
        <v>26</v>
      </c>
      <c r="H120">
        <v>0</v>
      </c>
      <c r="I120">
        <v>143000</v>
      </c>
      <c r="L120" t="s">
        <v>302</v>
      </c>
      <c r="M120" t="s">
        <v>1260</v>
      </c>
      <c r="N120" t="s">
        <v>303</v>
      </c>
    </row>
    <row r="122" spans="1:14">
      <c r="A122" s="1" t="s">
        <v>0</v>
      </c>
      <c r="B122" s="1" t="s">
        <v>340</v>
      </c>
    </row>
    <row r="123" spans="1:14">
      <c r="A123" t="s">
        <v>13</v>
      </c>
      <c r="B123" t="s">
        <v>328</v>
      </c>
    </row>
    <row r="124" spans="1:14">
      <c r="A124" t="s">
        <v>1</v>
      </c>
      <c r="B124" t="s">
        <v>20</v>
      </c>
    </row>
    <row r="125" spans="1:14">
      <c r="A125" t="s">
        <v>2</v>
      </c>
      <c r="B125">
        <v>1</v>
      </c>
    </row>
    <row r="126" spans="1:14">
      <c r="A126" t="s">
        <v>3</v>
      </c>
      <c r="B126" t="s">
        <v>340</v>
      </c>
    </row>
    <row r="127" spans="1:14">
      <c r="A127" t="s">
        <v>5</v>
      </c>
      <c r="B127" t="s">
        <v>6</v>
      </c>
    </row>
    <row r="128" spans="1:14">
      <c r="A128" t="s">
        <v>7</v>
      </c>
      <c r="B128" t="s">
        <v>7</v>
      </c>
    </row>
    <row r="129" spans="1:14">
      <c r="A129" s="1" t="s">
        <v>14</v>
      </c>
    </row>
    <row r="130" spans="1:14">
      <c r="A130" t="s">
        <v>15</v>
      </c>
      <c r="B130" t="s">
        <v>16</v>
      </c>
      <c r="C130" t="s">
        <v>17</v>
      </c>
      <c r="D130" t="s">
        <v>1</v>
      </c>
      <c r="E130" t="s">
        <v>7</v>
      </c>
      <c r="F130" t="s">
        <v>18</v>
      </c>
      <c r="G130" t="s">
        <v>5</v>
      </c>
      <c r="H130" t="s">
        <v>203</v>
      </c>
      <c r="I130" t="s">
        <v>204</v>
      </c>
      <c r="J130" t="s">
        <v>206</v>
      </c>
      <c r="K130" t="s">
        <v>13</v>
      </c>
      <c r="L130" t="s">
        <v>208</v>
      </c>
      <c r="M130" t="s">
        <v>3</v>
      </c>
      <c r="N130" t="s">
        <v>209</v>
      </c>
    </row>
    <row r="131" spans="1:14">
      <c r="A131" t="s">
        <v>340</v>
      </c>
      <c r="B131">
        <v>1</v>
      </c>
      <c r="C131" t="s">
        <v>1413</v>
      </c>
      <c r="D131" t="s">
        <v>20</v>
      </c>
      <c r="E131" t="s">
        <v>7</v>
      </c>
      <c r="F131" t="s">
        <v>224</v>
      </c>
      <c r="G131" t="s">
        <v>24</v>
      </c>
      <c r="J131">
        <v>100</v>
      </c>
      <c r="M131" t="s">
        <v>340</v>
      </c>
    </row>
    <row r="132" spans="1:14">
      <c r="A132" t="s">
        <v>145</v>
      </c>
      <c r="B132">
        <v>160000</v>
      </c>
      <c r="C132" t="s">
        <v>171</v>
      </c>
      <c r="D132" t="s">
        <v>34</v>
      </c>
      <c r="E132" t="s">
        <v>38</v>
      </c>
      <c r="F132" t="s">
        <v>227</v>
      </c>
      <c r="G132" t="s">
        <v>26</v>
      </c>
      <c r="H132">
        <v>0</v>
      </c>
      <c r="I132">
        <v>160000</v>
      </c>
      <c r="L132" t="s">
        <v>146</v>
      </c>
      <c r="M132" t="s">
        <v>146</v>
      </c>
      <c r="N132" t="s">
        <v>341</v>
      </c>
    </row>
    <row r="133" spans="1:14">
      <c r="A133" t="s">
        <v>342</v>
      </c>
      <c r="B133">
        <v>2440000</v>
      </c>
      <c r="C133" t="s">
        <v>171</v>
      </c>
      <c r="D133" t="s">
        <v>34</v>
      </c>
      <c r="E133" t="s">
        <v>38</v>
      </c>
      <c r="F133" t="s">
        <v>227</v>
      </c>
      <c r="G133" t="s">
        <v>26</v>
      </c>
      <c r="H133">
        <v>0</v>
      </c>
      <c r="I133">
        <v>2440000</v>
      </c>
      <c r="L133" t="s">
        <v>343</v>
      </c>
      <c r="M133" t="s">
        <v>343</v>
      </c>
      <c r="N133" t="s">
        <v>344</v>
      </c>
    </row>
    <row r="134" spans="1:14">
      <c r="A134" t="s">
        <v>139</v>
      </c>
      <c r="B134">
        <v>2600000</v>
      </c>
      <c r="C134" t="s">
        <v>171</v>
      </c>
      <c r="D134" t="s">
        <v>34</v>
      </c>
      <c r="E134" t="s">
        <v>38</v>
      </c>
      <c r="F134" t="s">
        <v>227</v>
      </c>
      <c r="G134" t="s">
        <v>26</v>
      </c>
      <c r="H134">
        <v>0</v>
      </c>
      <c r="I134">
        <v>2600000</v>
      </c>
      <c r="L134" t="s">
        <v>140</v>
      </c>
      <c r="M134" t="s">
        <v>140</v>
      </c>
      <c r="N134" t="s">
        <v>345</v>
      </c>
    </row>
    <row r="135" spans="1:14">
      <c r="A135" t="s">
        <v>1253</v>
      </c>
      <c r="B135">
        <v>572000</v>
      </c>
      <c r="C135" t="s">
        <v>171</v>
      </c>
      <c r="D135" t="s">
        <v>169</v>
      </c>
      <c r="E135" t="s">
        <v>35</v>
      </c>
      <c r="F135" t="s">
        <v>227</v>
      </c>
      <c r="G135" t="s">
        <v>26</v>
      </c>
      <c r="H135">
        <v>0</v>
      </c>
      <c r="I135">
        <v>572000</v>
      </c>
      <c r="L135" t="s">
        <v>1254</v>
      </c>
      <c r="M135" t="s">
        <v>1254</v>
      </c>
      <c r="N135" t="s">
        <v>332</v>
      </c>
    </row>
    <row r="136" spans="1:14">
      <c r="A136" t="s">
        <v>300</v>
      </c>
      <c r="B136">
        <v>286000</v>
      </c>
      <c r="C136" t="s">
        <v>171</v>
      </c>
      <c r="D136" t="s">
        <v>20</v>
      </c>
      <c r="E136" t="s">
        <v>35</v>
      </c>
      <c r="F136" t="s">
        <v>227</v>
      </c>
      <c r="G136" t="s">
        <v>26</v>
      </c>
      <c r="H136">
        <v>0</v>
      </c>
      <c r="I136">
        <v>286000</v>
      </c>
      <c r="L136" t="s">
        <v>302</v>
      </c>
      <c r="M136" t="s">
        <v>1260</v>
      </c>
      <c r="N136" t="s">
        <v>303</v>
      </c>
    </row>
    <row r="138" spans="1:14">
      <c r="A138" s="1" t="s">
        <v>0</v>
      </c>
      <c r="B138" s="1" t="s">
        <v>346</v>
      </c>
    </row>
    <row r="139" spans="1:14">
      <c r="A139" t="s">
        <v>13</v>
      </c>
      <c r="B139" t="s">
        <v>328</v>
      </c>
    </row>
    <row r="140" spans="1:14">
      <c r="A140" t="s">
        <v>1</v>
      </c>
      <c r="B140" t="s">
        <v>20</v>
      </c>
    </row>
    <row r="141" spans="1:14">
      <c r="A141" t="s">
        <v>2</v>
      </c>
      <c r="B141">
        <v>1</v>
      </c>
    </row>
    <row r="142" spans="1:14">
      <c r="A142" t="s">
        <v>3</v>
      </c>
      <c r="B142" t="s">
        <v>346</v>
      </c>
    </row>
    <row r="143" spans="1:14">
      <c r="A143" t="s">
        <v>5</v>
      </c>
      <c r="B143" t="s">
        <v>6</v>
      </c>
    </row>
    <row r="144" spans="1:14">
      <c r="A144" t="s">
        <v>7</v>
      </c>
      <c r="B144" t="s">
        <v>7</v>
      </c>
    </row>
    <row r="145" spans="1:14">
      <c r="A145" s="1" t="s">
        <v>14</v>
      </c>
    </row>
    <row r="146" spans="1:14">
      <c r="A146" t="s">
        <v>15</v>
      </c>
      <c r="B146" t="s">
        <v>16</v>
      </c>
      <c r="C146" t="s">
        <v>17</v>
      </c>
      <c r="D146" t="s">
        <v>1</v>
      </c>
      <c r="E146" t="s">
        <v>7</v>
      </c>
      <c r="F146" t="s">
        <v>18</v>
      </c>
      <c r="G146" t="s">
        <v>5</v>
      </c>
      <c r="H146" t="s">
        <v>203</v>
      </c>
      <c r="I146" t="s">
        <v>204</v>
      </c>
      <c r="J146" t="s">
        <v>206</v>
      </c>
      <c r="K146" t="s">
        <v>13</v>
      </c>
      <c r="L146" t="s">
        <v>208</v>
      </c>
      <c r="M146" t="s">
        <v>3</v>
      </c>
      <c r="N146" t="s">
        <v>209</v>
      </c>
    </row>
    <row r="147" spans="1:14">
      <c r="A147" t="s">
        <v>346</v>
      </c>
      <c r="B147">
        <v>1</v>
      </c>
      <c r="C147" t="s">
        <v>1413</v>
      </c>
      <c r="D147" t="s">
        <v>20</v>
      </c>
      <c r="E147" t="s">
        <v>7</v>
      </c>
      <c r="F147" t="s">
        <v>224</v>
      </c>
      <c r="G147" t="s">
        <v>24</v>
      </c>
      <c r="J147">
        <v>100</v>
      </c>
      <c r="M147" t="s">
        <v>346</v>
      </c>
    </row>
    <row r="148" spans="1:14">
      <c r="A148" t="s">
        <v>342</v>
      </c>
      <c r="B148">
        <v>158000</v>
      </c>
      <c r="C148" t="s">
        <v>171</v>
      </c>
      <c r="D148" t="s">
        <v>34</v>
      </c>
      <c r="E148" t="s">
        <v>38</v>
      </c>
      <c r="F148" t="s">
        <v>227</v>
      </c>
      <c r="G148" t="s">
        <v>26</v>
      </c>
      <c r="H148">
        <v>0</v>
      </c>
      <c r="I148">
        <v>158000</v>
      </c>
      <c r="L148" t="s">
        <v>343</v>
      </c>
      <c r="M148" t="s">
        <v>343</v>
      </c>
      <c r="N148" t="s">
        <v>344</v>
      </c>
    </row>
    <row r="149" spans="1:14">
      <c r="A149" t="s">
        <v>39</v>
      </c>
      <c r="B149">
        <v>158000</v>
      </c>
      <c r="C149" t="s">
        <v>171</v>
      </c>
      <c r="D149" t="s">
        <v>34</v>
      </c>
      <c r="E149" t="s">
        <v>38</v>
      </c>
      <c r="F149" t="s">
        <v>227</v>
      </c>
      <c r="G149" t="s">
        <v>26</v>
      </c>
      <c r="H149">
        <v>0</v>
      </c>
      <c r="I149">
        <v>158000</v>
      </c>
      <c r="L149" t="s">
        <v>40</v>
      </c>
      <c r="M149" t="s">
        <v>40</v>
      </c>
      <c r="N149" t="s">
        <v>299</v>
      </c>
    </row>
    <row r="150" spans="1:14">
      <c r="A150" t="s">
        <v>1253</v>
      </c>
      <c r="B150">
        <v>34700</v>
      </c>
      <c r="C150" t="s">
        <v>171</v>
      </c>
      <c r="D150" t="s">
        <v>169</v>
      </c>
      <c r="E150" t="s">
        <v>35</v>
      </c>
      <c r="F150" t="s">
        <v>227</v>
      </c>
      <c r="G150" t="s">
        <v>26</v>
      </c>
      <c r="H150">
        <v>0</v>
      </c>
      <c r="I150">
        <v>34700</v>
      </c>
      <c r="L150" t="s">
        <v>1254</v>
      </c>
      <c r="M150" t="s">
        <v>1254</v>
      </c>
      <c r="N150" t="s">
        <v>332</v>
      </c>
    </row>
    <row r="151" spans="1:14">
      <c r="A151" t="s">
        <v>300</v>
      </c>
      <c r="B151">
        <v>17300</v>
      </c>
      <c r="C151" t="s">
        <v>171</v>
      </c>
      <c r="D151" t="s">
        <v>20</v>
      </c>
      <c r="E151" t="s">
        <v>35</v>
      </c>
      <c r="F151" t="s">
        <v>227</v>
      </c>
      <c r="G151" t="s">
        <v>26</v>
      </c>
      <c r="H151">
        <v>0</v>
      </c>
      <c r="I151">
        <v>17300</v>
      </c>
      <c r="L151" t="s">
        <v>302</v>
      </c>
      <c r="M151" t="s">
        <v>1260</v>
      </c>
      <c r="N151" t="s">
        <v>303</v>
      </c>
    </row>
    <row r="153" spans="1:14">
      <c r="A153" s="1" t="s">
        <v>0</v>
      </c>
      <c r="B153" s="1" t="s">
        <v>347</v>
      </c>
    </row>
    <row r="154" spans="1:14">
      <c r="A154" t="s">
        <v>13</v>
      </c>
      <c r="B154" t="s">
        <v>328</v>
      </c>
    </row>
    <row r="155" spans="1:14">
      <c r="A155" t="s">
        <v>1</v>
      </c>
      <c r="B155" t="s">
        <v>20</v>
      </c>
    </row>
    <row r="156" spans="1:14">
      <c r="A156" t="s">
        <v>2</v>
      </c>
      <c r="B156">
        <v>1</v>
      </c>
    </row>
    <row r="157" spans="1:14">
      <c r="A157" t="s">
        <v>3</v>
      </c>
      <c r="B157" t="s">
        <v>347</v>
      </c>
    </row>
    <row r="158" spans="1:14">
      <c r="A158" t="s">
        <v>5</v>
      </c>
      <c r="B158" t="s">
        <v>6</v>
      </c>
    </row>
    <row r="159" spans="1:14">
      <c r="A159" t="s">
        <v>7</v>
      </c>
      <c r="B159" t="s">
        <v>7</v>
      </c>
    </row>
    <row r="160" spans="1:14">
      <c r="A160" s="1" t="s">
        <v>14</v>
      </c>
    </row>
    <row r="161" spans="1:14">
      <c r="A161" t="s">
        <v>15</v>
      </c>
      <c r="B161" t="s">
        <v>16</v>
      </c>
      <c r="C161" t="s">
        <v>17</v>
      </c>
      <c r="D161" t="s">
        <v>1</v>
      </c>
      <c r="E161" t="s">
        <v>7</v>
      </c>
      <c r="F161" t="s">
        <v>18</v>
      </c>
      <c r="G161" t="s">
        <v>5</v>
      </c>
      <c r="H161" t="s">
        <v>203</v>
      </c>
      <c r="I161" t="s">
        <v>204</v>
      </c>
      <c r="J161" t="s">
        <v>206</v>
      </c>
      <c r="K161" t="s">
        <v>13</v>
      </c>
      <c r="L161" t="s">
        <v>208</v>
      </c>
      <c r="M161" t="s">
        <v>3</v>
      </c>
      <c r="N161" t="s">
        <v>209</v>
      </c>
    </row>
    <row r="162" spans="1:14">
      <c r="A162" t="s">
        <v>347</v>
      </c>
      <c r="B162">
        <v>1</v>
      </c>
      <c r="C162" t="s">
        <v>1413</v>
      </c>
      <c r="D162" t="s">
        <v>20</v>
      </c>
      <c r="E162" t="s">
        <v>7</v>
      </c>
      <c r="F162" t="s">
        <v>224</v>
      </c>
      <c r="G162" t="s">
        <v>24</v>
      </c>
      <c r="J162">
        <v>100</v>
      </c>
      <c r="M162" t="s">
        <v>347</v>
      </c>
    </row>
    <row r="163" spans="1:14">
      <c r="A163" t="s">
        <v>1004</v>
      </c>
      <c r="B163">
        <v>59600</v>
      </c>
      <c r="C163" t="s">
        <v>171</v>
      </c>
      <c r="D163" t="s">
        <v>155</v>
      </c>
      <c r="E163" t="s">
        <v>119</v>
      </c>
      <c r="F163" t="s">
        <v>227</v>
      </c>
      <c r="G163" t="s">
        <v>26</v>
      </c>
      <c r="H163">
        <v>0</v>
      </c>
      <c r="I163">
        <v>59600</v>
      </c>
      <c r="L163" t="s">
        <v>1003</v>
      </c>
      <c r="M163" t="s">
        <v>1003</v>
      </c>
      <c r="N163" t="s">
        <v>266</v>
      </c>
    </row>
    <row r="164" spans="1:14">
      <c r="A164" t="s">
        <v>145</v>
      </c>
      <c r="B164">
        <v>543000</v>
      </c>
      <c r="C164" t="s">
        <v>171</v>
      </c>
      <c r="D164" t="s">
        <v>34</v>
      </c>
      <c r="E164" t="s">
        <v>38</v>
      </c>
      <c r="F164" t="s">
        <v>227</v>
      </c>
      <c r="G164" t="s">
        <v>26</v>
      </c>
      <c r="H164">
        <v>0</v>
      </c>
      <c r="I164">
        <v>543000</v>
      </c>
      <c r="L164" t="s">
        <v>146</v>
      </c>
      <c r="M164" t="s">
        <v>146</v>
      </c>
      <c r="N164" t="s">
        <v>341</v>
      </c>
    </row>
    <row r="165" spans="1:14">
      <c r="A165" t="s">
        <v>342</v>
      </c>
      <c r="B165">
        <v>1630000</v>
      </c>
      <c r="C165" t="s">
        <v>171</v>
      </c>
      <c r="D165" t="s">
        <v>34</v>
      </c>
      <c r="E165" t="s">
        <v>38</v>
      </c>
      <c r="F165" t="s">
        <v>227</v>
      </c>
      <c r="G165" t="s">
        <v>26</v>
      </c>
      <c r="H165">
        <v>0</v>
      </c>
      <c r="I165">
        <v>1630000</v>
      </c>
      <c r="L165" t="s">
        <v>343</v>
      </c>
      <c r="M165" t="s">
        <v>343</v>
      </c>
      <c r="N165" t="s">
        <v>344</v>
      </c>
    </row>
    <row r="166" spans="1:14">
      <c r="A166" t="s">
        <v>293</v>
      </c>
      <c r="B166">
        <v>7330000</v>
      </c>
      <c r="C166" t="s">
        <v>171</v>
      </c>
      <c r="D166" t="s">
        <v>34</v>
      </c>
      <c r="E166" t="s">
        <v>38</v>
      </c>
      <c r="F166" t="s">
        <v>227</v>
      </c>
      <c r="G166" t="s">
        <v>26</v>
      </c>
      <c r="H166">
        <v>0</v>
      </c>
      <c r="I166">
        <v>7330000</v>
      </c>
      <c r="L166" t="s">
        <v>189</v>
      </c>
      <c r="M166" t="s">
        <v>189</v>
      </c>
      <c r="N166" t="s">
        <v>294</v>
      </c>
    </row>
    <row r="167" spans="1:14">
      <c r="A167" t="s">
        <v>139</v>
      </c>
      <c r="B167">
        <v>543000</v>
      </c>
      <c r="C167" t="s">
        <v>171</v>
      </c>
      <c r="D167" t="s">
        <v>34</v>
      </c>
      <c r="E167" t="s">
        <v>38</v>
      </c>
      <c r="F167" t="s">
        <v>227</v>
      </c>
      <c r="G167" t="s">
        <v>26</v>
      </c>
      <c r="H167">
        <v>0</v>
      </c>
      <c r="I167">
        <v>543000</v>
      </c>
      <c r="L167" t="s">
        <v>140</v>
      </c>
      <c r="M167" t="s">
        <v>140</v>
      </c>
      <c r="N167" t="s">
        <v>345</v>
      </c>
    </row>
    <row r="168" spans="1:14">
      <c r="A168" t="s">
        <v>39</v>
      </c>
      <c r="B168">
        <v>1090000</v>
      </c>
      <c r="C168" t="s">
        <v>171</v>
      </c>
      <c r="D168" t="s">
        <v>34</v>
      </c>
      <c r="E168" t="s">
        <v>38</v>
      </c>
      <c r="F168" t="s">
        <v>227</v>
      </c>
      <c r="G168" t="s">
        <v>26</v>
      </c>
      <c r="H168">
        <v>0</v>
      </c>
      <c r="I168">
        <v>1090000</v>
      </c>
      <c r="L168" t="s">
        <v>40</v>
      </c>
      <c r="M168" t="s">
        <v>40</v>
      </c>
      <c r="N168" t="s">
        <v>299</v>
      </c>
    </row>
    <row r="169" spans="1:14">
      <c r="A169" t="s">
        <v>1253</v>
      </c>
      <c r="B169">
        <v>1790000</v>
      </c>
      <c r="C169" t="s">
        <v>171</v>
      </c>
      <c r="D169" t="s">
        <v>169</v>
      </c>
      <c r="E169" t="s">
        <v>35</v>
      </c>
      <c r="F169" t="s">
        <v>227</v>
      </c>
      <c r="G169" t="s">
        <v>26</v>
      </c>
      <c r="H169">
        <v>0</v>
      </c>
      <c r="I169">
        <v>1790000</v>
      </c>
      <c r="L169" t="s">
        <v>1254</v>
      </c>
      <c r="M169" t="s">
        <v>1254</v>
      </c>
      <c r="N169" t="s">
        <v>332</v>
      </c>
    </row>
    <row r="170" spans="1:14">
      <c r="A170" t="s">
        <v>300</v>
      </c>
      <c r="B170">
        <v>8050000</v>
      </c>
      <c r="C170" t="s">
        <v>171</v>
      </c>
      <c r="D170" t="s">
        <v>20</v>
      </c>
      <c r="E170" t="s">
        <v>35</v>
      </c>
      <c r="F170" t="s">
        <v>227</v>
      </c>
      <c r="G170" t="s">
        <v>26</v>
      </c>
      <c r="H170">
        <v>0</v>
      </c>
      <c r="I170">
        <v>8050000</v>
      </c>
      <c r="L170" t="s">
        <v>302</v>
      </c>
      <c r="M170" t="s">
        <v>1260</v>
      </c>
      <c r="N170" t="s">
        <v>303</v>
      </c>
    </row>
    <row r="172" spans="1:14">
      <c r="A172" s="1" t="s">
        <v>0</v>
      </c>
      <c r="B172" s="1" t="s">
        <v>348</v>
      </c>
    </row>
    <row r="173" spans="1:14">
      <c r="A173" t="s">
        <v>13</v>
      </c>
      <c r="B173" t="s">
        <v>328</v>
      </c>
    </row>
    <row r="174" spans="1:14">
      <c r="A174" t="s">
        <v>1</v>
      </c>
      <c r="B174" t="s">
        <v>155</v>
      </c>
    </row>
    <row r="175" spans="1:14">
      <c r="A175" t="s">
        <v>2</v>
      </c>
      <c r="B175">
        <v>1</v>
      </c>
    </row>
    <row r="176" spans="1:14">
      <c r="A176" t="s">
        <v>3</v>
      </c>
      <c r="B176" t="s">
        <v>348</v>
      </c>
    </row>
    <row r="177" spans="1:14">
      <c r="A177" t="s">
        <v>5</v>
      </c>
      <c r="B177" t="s">
        <v>6</v>
      </c>
    </row>
    <row r="178" spans="1:14">
      <c r="A178" t="s">
        <v>7</v>
      </c>
      <c r="B178" t="s">
        <v>7</v>
      </c>
    </row>
    <row r="179" spans="1:14">
      <c r="A179" s="1" t="s">
        <v>14</v>
      </c>
    </row>
    <row r="180" spans="1:14">
      <c r="A180" t="s">
        <v>15</v>
      </c>
      <c r="B180" t="s">
        <v>16</v>
      </c>
      <c r="C180" t="s">
        <v>17</v>
      </c>
      <c r="D180" t="s">
        <v>1</v>
      </c>
      <c r="E180" t="s">
        <v>7</v>
      </c>
      <c r="F180" t="s">
        <v>18</v>
      </c>
      <c r="G180" t="s">
        <v>5</v>
      </c>
      <c r="H180" t="s">
        <v>203</v>
      </c>
      <c r="I180" t="s">
        <v>204</v>
      </c>
      <c r="J180" t="s">
        <v>206</v>
      </c>
      <c r="K180" t="s">
        <v>13</v>
      </c>
      <c r="L180" t="s">
        <v>208</v>
      </c>
      <c r="M180" t="s">
        <v>3</v>
      </c>
      <c r="N180" t="s">
        <v>209</v>
      </c>
    </row>
    <row r="181" spans="1:14">
      <c r="A181" t="s">
        <v>348</v>
      </c>
      <c r="B181">
        <v>1</v>
      </c>
      <c r="C181" t="s">
        <v>1413</v>
      </c>
      <c r="D181" t="s">
        <v>155</v>
      </c>
      <c r="E181" t="s">
        <v>7</v>
      </c>
      <c r="F181" t="s">
        <v>224</v>
      </c>
      <c r="G181" t="s">
        <v>24</v>
      </c>
      <c r="J181">
        <v>100</v>
      </c>
      <c r="M181" t="s">
        <v>348</v>
      </c>
    </row>
    <row r="182" spans="1:14">
      <c r="A182" t="s">
        <v>145</v>
      </c>
      <c r="B182">
        <v>145000</v>
      </c>
      <c r="C182" t="s">
        <v>171</v>
      </c>
      <c r="D182" t="s">
        <v>34</v>
      </c>
      <c r="E182" t="s">
        <v>38</v>
      </c>
      <c r="F182" t="s">
        <v>227</v>
      </c>
      <c r="G182" t="s">
        <v>26</v>
      </c>
      <c r="H182">
        <v>0</v>
      </c>
      <c r="I182">
        <v>145000</v>
      </c>
      <c r="L182" t="s">
        <v>146</v>
      </c>
      <c r="M182" t="s">
        <v>146</v>
      </c>
      <c r="N182" t="s">
        <v>341</v>
      </c>
    </row>
    <row r="183" spans="1:14">
      <c r="A183" t="s">
        <v>342</v>
      </c>
      <c r="B183">
        <v>16100</v>
      </c>
      <c r="C183" t="s">
        <v>171</v>
      </c>
      <c r="D183" t="s">
        <v>34</v>
      </c>
      <c r="E183" t="s">
        <v>38</v>
      </c>
      <c r="F183" t="s">
        <v>227</v>
      </c>
      <c r="G183" t="s">
        <v>26</v>
      </c>
      <c r="H183">
        <v>0</v>
      </c>
      <c r="I183">
        <v>16100</v>
      </c>
      <c r="L183" t="s">
        <v>343</v>
      </c>
      <c r="M183" t="s">
        <v>343</v>
      </c>
      <c r="N183" t="s">
        <v>344</v>
      </c>
    </row>
    <row r="184" spans="1:14">
      <c r="A184" t="s">
        <v>139</v>
      </c>
      <c r="B184">
        <v>161000</v>
      </c>
      <c r="C184" t="s">
        <v>171</v>
      </c>
      <c r="D184" t="s">
        <v>34</v>
      </c>
      <c r="E184" t="s">
        <v>38</v>
      </c>
      <c r="F184" t="s">
        <v>227</v>
      </c>
      <c r="G184" t="s">
        <v>26</v>
      </c>
      <c r="H184">
        <v>0</v>
      </c>
      <c r="I184">
        <v>161000</v>
      </c>
      <c r="L184" t="s">
        <v>140</v>
      </c>
      <c r="M184" t="s">
        <v>140</v>
      </c>
      <c r="N184" t="s">
        <v>345</v>
      </c>
    </row>
    <row r="185" spans="1:14">
      <c r="A185" t="s">
        <v>1253</v>
      </c>
      <c r="B185">
        <v>106000</v>
      </c>
      <c r="C185" t="s">
        <v>171</v>
      </c>
      <c r="D185" t="s">
        <v>155</v>
      </c>
      <c r="E185" t="s">
        <v>35</v>
      </c>
      <c r="F185" t="s">
        <v>227</v>
      </c>
      <c r="G185" t="s">
        <v>26</v>
      </c>
      <c r="H185">
        <v>0</v>
      </c>
      <c r="I185">
        <v>106000</v>
      </c>
      <c r="L185" t="s">
        <v>1254</v>
      </c>
      <c r="M185" t="s">
        <v>1254</v>
      </c>
      <c r="N185" t="s">
        <v>332</v>
      </c>
    </row>
    <row r="186" spans="1:14">
      <c r="A186" t="s">
        <v>300</v>
      </c>
      <c r="B186">
        <v>8870</v>
      </c>
      <c r="C186" t="s">
        <v>171</v>
      </c>
      <c r="D186" t="s">
        <v>20</v>
      </c>
      <c r="E186" t="s">
        <v>35</v>
      </c>
      <c r="F186" t="s">
        <v>227</v>
      </c>
      <c r="G186" t="s">
        <v>26</v>
      </c>
      <c r="H186">
        <v>0</v>
      </c>
      <c r="I186">
        <v>8870</v>
      </c>
      <c r="L186" t="s">
        <v>302</v>
      </c>
      <c r="M186" t="s">
        <v>1260</v>
      </c>
      <c r="N186" t="s">
        <v>303</v>
      </c>
    </row>
    <row r="188" spans="1:14">
      <c r="A188" s="1" t="s">
        <v>0</v>
      </c>
      <c r="B188" s="1" t="s">
        <v>348</v>
      </c>
    </row>
    <row r="189" spans="1:14">
      <c r="A189" t="s">
        <v>13</v>
      </c>
      <c r="B189" t="s">
        <v>328</v>
      </c>
    </row>
    <row r="190" spans="1:14">
      <c r="A190" t="s">
        <v>1</v>
      </c>
      <c r="B190" t="s">
        <v>20</v>
      </c>
    </row>
    <row r="191" spans="1:14">
      <c r="A191" t="s">
        <v>2</v>
      </c>
      <c r="B191">
        <v>1</v>
      </c>
    </row>
    <row r="192" spans="1:14">
      <c r="A192" t="s">
        <v>3</v>
      </c>
      <c r="B192" t="s">
        <v>348</v>
      </c>
    </row>
    <row r="193" spans="1:14">
      <c r="A193" t="s">
        <v>5</v>
      </c>
      <c r="B193" t="s">
        <v>6</v>
      </c>
    </row>
    <row r="194" spans="1:14">
      <c r="A194" t="s">
        <v>7</v>
      </c>
      <c r="B194" t="s">
        <v>7</v>
      </c>
    </row>
    <row r="195" spans="1:14">
      <c r="A195" s="1" t="s">
        <v>14</v>
      </c>
    </row>
    <row r="196" spans="1:14">
      <c r="A196" t="s">
        <v>15</v>
      </c>
      <c r="B196" t="s">
        <v>16</v>
      </c>
      <c r="C196" t="s">
        <v>17</v>
      </c>
      <c r="D196" t="s">
        <v>1</v>
      </c>
      <c r="E196" t="s">
        <v>7</v>
      </c>
      <c r="F196" t="s">
        <v>18</v>
      </c>
      <c r="G196" t="s">
        <v>5</v>
      </c>
      <c r="H196" t="s">
        <v>203</v>
      </c>
      <c r="I196" t="s">
        <v>204</v>
      </c>
      <c r="J196" t="s">
        <v>206</v>
      </c>
      <c r="K196" t="s">
        <v>13</v>
      </c>
      <c r="L196" t="s">
        <v>208</v>
      </c>
      <c r="M196" t="s">
        <v>3</v>
      </c>
      <c r="N196" t="s">
        <v>209</v>
      </c>
    </row>
    <row r="197" spans="1:14">
      <c r="A197" t="s">
        <v>348</v>
      </c>
      <c r="B197">
        <v>1</v>
      </c>
      <c r="C197" t="s">
        <v>1413</v>
      </c>
      <c r="D197" t="s">
        <v>20</v>
      </c>
      <c r="E197" t="s">
        <v>7</v>
      </c>
      <c r="F197" t="s">
        <v>224</v>
      </c>
      <c r="G197" t="s">
        <v>24</v>
      </c>
      <c r="J197">
        <v>100</v>
      </c>
      <c r="M197" t="s">
        <v>348</v>
      </c>
    </row>
    <row r="198" spans="1:14">
      <c r="A198" t="s">
        <v>145</v>
      </c>
      <c r="B198">
        <v>145000</v>
      </c>
      <c r="C198" t="s">
        <v>171</v>
      </c>
      <c r="D198" t="s">
        <v>34</v>
      </c>
      <c r="E198" t="s">
        <v>38</v>
      </c>
      <c r="F198" t="s">
        <v>227</v>
      </c>
      <c r="G198" t="s">
        <v>26</v>
      </c>
      <c r="H198">
        <v>0</v>
      </c>
      <c r="I198">
        <v>145000</v>
      </c>
      <c r="L198" t="s">
        <v>146</v>
      </c>
      <c r="M198" t="s">
        <v>146</v>
      </c>
      <c r="N198" t="s">
        <v>341</v>
      </c>
    </row>
    <row r="199" spans="1:14">
      <c r="A199" t="s">
        <v>342</v>
      </c>
      <c r="B199">
        <v>16100</v>
      </c>
      <c r="C199" t="s">
        <v>171</v>
      </c>
      <c r="D199" t="s">
        <v>34</v>
      </c>
      <c r="E199" t="s">
        <v>38</v>
      </c>
      <c r="F199" t="s">
        <v>227</v>
      </c>
      <c r="G199" t="s">
        <v>26</v>
      </c>
      <c r="H199">
        <v>0</v>
      </c>
      <c r="I199">
        <v>16100</v>
      </c>
      <c r="L199" t="s">
        <v>343</v>
      </c>
      <c r="M199" t="s">
        <v>343</v>
      </c>
      <c r="N199" t="s">
        <v>344</v>
      </c>
    </row>
    <row r="200" spans="1:14">
      <c r="A200" t="s">
        <v>139</v>
      </c>
      <c r="B200">
        <v>161000</v>
      </c>
      <c r="C200" t="s">
        <v>171</v>
      </c>
      <c r="D200" t="s">
        <v>34</v>
      </c>
      <c r="E200" t="s">
        <v>38</v>
      </c>
      <c r="F200" t="s">
        <v>227</v>
      </c>
      <c r="G200" t="s">
        <v>26</v>
      </c>
      <c r="H200">
        <v>0</v>
      </c>
      <c r="I200">
        <v>161000</v>
      </c>
      <c r="L200" t="s">
        <v>140</v>
      </c>
      <c r="M200" t="s">
        <v>140</v>
      </c>
      <c r="N200" t="s">
        <v>345</v>
      </c>
    </row>
    <row r="201" spans="1:14">
      <c r="A201" t="s">
        <v>1253</v>
      </c>
      <c r="B201">
        <v>35500</v>
      </c>
      <c r="C201" t="s">
        <v>171</v>
      </c>
      <c r="D201" t="s">
        <v>169</v>
      </c>
      <c r="E201" t="s">
        <v>35</v>
      </c>
      <c r="F201" t="s">
        <v>227</v>
      </c>
      <c r="G201" t="s">
        <v>26</v>
      </c>
      <c r="H201">
        <v>0</v>
      </c>
      <c r="I201">
        <v>35500</v>
      </c>
      <c r="L201" t="s">
        <v>1254</v>
      </c>
      <c r="M201" t="s">
        <v>1254</v>
      </c>
      <c r="N201" t="s">
        <v>332</v>
      </c>
    </row>
    <row r="202" spans="1:14">
      <c r="A202" t="s">
        <v>300</v>
      </c>
      <c r="B202">
        <v>17700</v>
      </c>
      <c r="C202" t="s">
        <v>171</v>
      </c>
      <c r="D202" t="s">
        <v>20</v>
      </c>
      <c r="E202" t="s">
        <v>35</v>
      </c>
      <c r="F202" t="s">
        <v>227</v>
      </c>
      <c r="G202" t="s">
        <v>26</v>
      </c>
      <c r="H202">
        <v>0</v>
      </c>
      <c r="I202">
        <v>17700</v>
      </c>
      <c r="L202" t="s">
        <v>302</v>
      </c>
      <c r="M202" t="s">
        <v>1260</v>
      </c>
      <c r="N202" t="s">
        <v>303</v>
      </c>
    </row>
    <row r="205" spans="1:14">
      <c r="A205" s="1" t="s">
        <v>0</v>
      </c>
      <c r="B205" s="1" t="s">
        <v>349</v>
      </c>
    </row>
    <row r="206" spans="1:14">
      <c r="A206" t="s">
        <v>13</v>
      </c>
      <c r="B206" t="s">
        <v>328</v>
      </c>
    </row>
    <row r="207" spans="1:14">
      <c r="A207" t="s">
        <v>1</v>
      </c>
      <c r="B207" t="s">
        <v>20</v>
      </c>
    </row>
    <row r="208" spans="1:14">
      <c r="A208" t="s">
        <v>2</v>
      </c>
      <c r="B208">
        <v>1</v>
      </c>
    </row>
    <row r="209" spans="1:14">
      <c r="A209" t="s">
        <v>3</v>
      </c>
      <c r="B209" t="s">
        <v>349</v>
      </c>
    </row>
    <row r="210" spans="1:14">
      <c r="A210" t="s">
        <v>5</v>
      </c>
      <c r="B210" t="s">
        <v>6</v>
      </c>
    </row>
    <row r="211" spans="1:14">
      <c r="A211" t="s">
        <v>7</v>
      </c>
      <c r="B211" t="s">
        <v>7</v>
      </c>
    </row>
    <row r="212" spans="1:14">
      <c r="A212" s="1" t="s">
        <v>14</v>
      </c>
    </row>
    <row r="213" spans="1:14">
      <c r="A213" t="s">
        <v>15</v>
      </c>
      <c r="B213" t="s">
        <v>16</v>
      </c>
      <c r="C213" t="s">
        <v>17</v>
      </c>
      <c r="D213" t="s">
        <v>1</v>
      </c>
      <c r="E213" t="s">
        <v>7</v>
      </c>
      <c r="F213" t="s">
        <v>18</v>
      </c>
      <c r="G213" t="s">
        <v>5</v>
      </c>
      <c r="H213" t="s">
        <v>203</v>
      </c>
      <c r="I213" t="s">
        <v>204</v>
      </c>
      <c r="J213" t="s">
        <v>206</v>
      </c>
      <c r="K213" t="s">
        <v>13</v>
      </c>
      <c r="L213" t="s">
        <v>208</v>
      </c>
      <c r="M213" t="s">
        <v>3</v>
      </c>
      <c r="N213" t="s">
        <v>209</v>
      </c>
    </row>
    <row r="214" spans="1:14">
      <c r="A214" t="s">
        <v>349</v>
      </c>
      <c r="B214">
        <v>1</v>
      </c>
      <c r="C214" t="s">
        <v>1413</v>
      </c>
      <c r="D214" t="s">
        <v>20</v>
      </c>
      <c r="E214" t="s">
        <v>7</v>
      </c>
      <c r="F214" t="s">
        <v>224</v>
      </c>
      <c r="G214" t="s">
        <v>24</v>
      </c>
      <c r="J214">
        <v>100</v>
      </c>
      <c r="M214" t="s">
        <v>349</v>
      </c>
    </row>
    <row r="215" spans="1:14">
      <c r="A215" t="s">
        <v>67</v>
      </c>
      <c r="B215">
        <v>7830</v>
      </c>
      <c r="C215" t="s">
        <v>171</v>
      </c>
      <c r="D215" t="s">
        <v>34</v>
      </c>
      <c r="E215" t="s">
        <v>38</v>
      </c>
      <c r="F215" t="s">
        <v>227</v>
      </c>
      <c r="G215" t="s">
        <v>26</v>
      </c>
      <c r="H215">
        <v>0</v>
      </c>
      <c r="I215">
        <v>7830</v>
      </c>
      <c r="L215" t="s">
        <v>68</v>
      </c>
      <c r="M215" t="s">
        <v>68</v>
      </c>
      <c r="N215" t="s">
        <v>330</v>
      </c>
    </row>
    <row r="216" spans="1:14">
      <c r="A216" t="s">
        <v>342</v>
      </c>
      <c r="B216">
        <v>138000</v>
      </c>
      <c r="C216" t="s">
        <v>171</v>
      </c>
      <c r="D216" t="s">
        <v>34</v>
      </c>
      <c r="E216" t="s">
        <v>38</v>
      </c>
      <c r="F216" t="s">
        <v>227</v>
      </c>
      <c r="G216" t="s">
        <v>26</v>
      </c>
      <c r="H216">
        <v>0</v>
      </c>
      <c r="I216">
        <v>138000</v>
      </c>
      <c r="L216" t="s">
        <v>343</v>
      </c>
      <c r="M216" t="s">
        <v>343</v>
      </c>
      <c r="N216" t="s">
        <v>344</v>
      </c>
    </row>
    <row r="217" spans="1:14">
      <c r="A217" t="s">
        <v>139</v>
      </c>
      <c r="B217">
        <v>10100</v>
      </c>
      <c r="C217" t="s">
        <v>171</v>
      </c>
      <c r="D217" t="s">
        <v>34</v>
      </c>
      <c r="E217" t="s">
        <v>38</v>
      </c>
      <c r="F217" t="s">
        <v>227</v>
      </c>
      <c r="G217" t="s">
        <v>26</v>
      </c>
      <c r="H217">
        <v>0</v>
      </c>
      <c r="I217">
        <v>10100</v>
      </c>
      <c r="L217" t="s">
        <v>140</v>
      </c>
      <c r="M217" t="s">
        <v>140</v>
      </c>
      <c r="N217" t="s">
        <v>345</v>
      </c>
    </row>
    <row r="218" spans="1:14">
      <c r="A218" t="s">
        <v>39</v>
      </c>
      <c r="B218">
        <v>128000</v>
      </c>
      <c r="C218" t="s">
        <v>171</v>
      </c>
      <c r="D218" t="s">
        <v>34</v>
      </c>
      <c r="E218" t="s">
        <v>38</v>
      </c>
      <c r="F218" t="s">
        <v>227</v>
      </c>
      <c r="G218" t="s">
        <v>26</v>
      </c>
      <c r="H218">
        <v>0</v>
      </c>
      <c r="I218">
        <v>128000</v>
      </c>
      <c r="L218" t="s">
        <v>40</v>
      </c>
      <c r="M218" t="s">
        <v>40</v>
      </c>
      <c r="N218" t="s">
        <v>299</v>
      </c>
    </row>
    <row r="219" spans="1:14">
      <c r="A219" t="s">
        <v>1253</v>
      </c>
      <c r="B219">
        <v>32100</v>
      </c>
      <c r="C219" t="s">
        <v>171</v>
      </c>
      <c r="D219" t="s">
        <v>169</v>
      </c>
      <c r="E219" t="s">
        <v>35</v>
      </c>
      <c r="F219" t="s">
        <v>227</v>
      </c>
      <c r="G219" t="s">
        <v>26</v>
      </c>
      <c r="H219">
        <v>0</v>
      </c>
      <c r="I219">
        <v>32100</v>
      </c>
      <c r="L219" t="s">
        <v>1254</v>
      </c>
      <c r="M219" t="s">
        <v>1254</v>
      </c>
      <c r="N219" t="s">
        <v>332</v>
      </c>
    </row>
    <row r="220" spans="1:14">
      <c r="A220" t="s">
        <v>300</v>
      </c>
      <c r="B220">
        <v>16100</v>
      </c>
      <c r="C220" t="s">
        <v>171</v>
      </c>
      <c r="D220" t="s">
        <v>20</v>
      </c>
      <c r="E220" t="s">
        <v>35</v>
      </c>
      <c r="F220" t="s">
        <v>227</v>
      </c>
      <c r="G220" t="s">
        <v>26</v>
      </c>
      <c r="H220">
        <v>0</v>
      </c>
      <c r="I220">
        <v>16100</v>
      </c>
      <c r="L220" t="s">
        <v>302</v>
      </c>
      <c r="M220" t="s">
        <v>1260</v>
      </c>
      <c r="N220" t="s">
        <v>303</v>
      </c>
    </row>
    <row r="221" spans="1:14">
      <c r="A221" t="s">
        <v>191</v>
      </c>
      <c r="B221">
        <v>14400</v>
      </c>
      <c r="C221" t="s">
        <v>171</v>
      </c>
      <c r="D221" t="s">
        <v>20</v>
      </c>
      <c r="E221" t="s">
        <v>38</v>
      </c>
      <c r="F221" t="s">
        <v>227</v>
      </c>
      <c r="G221" t="s">
        <v>26</v>
      </c>
      <c r="H221">
        <v>0</v>
      </c>
      <c r="I221">
        <v>14400</v>
      </c>
      <c r="M221" t="s">
        <v>191</v>
      </c>
      <c r="N221" t="s">
        <v>335</v>
      </c>
    </row>
    <row r="222" spans="1:14">
      <c r="A222" t="s">
        <v>350</v>
      </c>
      <c r="B222">
        <v>14400</v>
      </c>
      <c r="C222" t="s">
        <v>171</v>
      </c>
      <c r="D222" t="s">
        <v>351</v>
      </c>
      <c r="E222" t="s">
        <v>38</v>
      </c>
      <c r="F222" t="s">
        <v>227</v>
      </c>
      <c r="G222" t="s">
        <v>26</v>
      </c>
      <c r="H222">
        <v>0</v>
      </c>
      <c r="I222">
        <v>14400</v>
      </c>
      <c r="L222" t="s">
        <v>40</v>
      </c>
      <c r="M222" t="s">
        <v>40</v>
      </c>
      <c r="N222" t="s">
        <v>352</v>
      </c>
    </row>
    <row r="223" spans="1:14">
      <c r="A223" t="s">
        <v>193</v>
      </c>
      <c r="B223">
        <v>7830</v>
      </c>
      <c r="C223" t="s">
        <v>171</v>
      </c>
      <c r="D223" t="s">
        <v>20</v>
      </c>
      <c r="E223" t="s">
        <v>38</v>
      </c>
      <c r="F223" t="s">
        <v>227</v>
      </c>
      <c r="G223" t="s">
        <v>26</v>
      </c>
      <c r="H223">
        <v>0</v>
      </c>
      <c r="I223">
        <v>7830</v>
      </c>
      <c r="M223" t="s">
        <v>193</v>
      </c>
      <c r="N223" t="s">
        <v>336</v>
      </c>
    </row>
    <row r="225" spans="1:14">
      <c r="A225" s="1" t="s">
        <v>0</v>
      </c>
      <c r="B225" s="1" t="s">
        <v>353</v>
      </c>
    </row>
    <row r="226" spans="1:14">
      <c r="A226" t="s">
        <v>13</v>
      </c>
      <c r="B226" t="s">
        <v>328</v>
      </c>
    </row>
    <row r="227" spans="1:14">
      <c r="A227" t="s">
        <v>1</v>
      </c>
      <c r="B227" t="s">
        <v>155</v>
      </c>
    </row>
    <row r="228" spans="1:14">
      <c r="A228" t="s">
        <v>2</v>
      </c>
      <c r="B228">
        <v>1</v>
      </c>
    </row>
    <row r="229" spans="1:14">
      <c r="A229" t="s">
        <v>3</v>
      </c>
      <c r="B229" t="s">
        <v>353</v>
      </c>
    </row>
    <row r="230" spans="1:14">
      <c r="A230" t="s">
        <v>5</v>
      </c>
      <c r="B230" t="s">
        <v>6</v>
      </c>
    </row>
    <row r="231" spans="1:14">
      <c r="A231" t="s">
        <v>7</v>
      </c>
      <c r="B231" t="s">
        <v>7</v>
      </c>
    </row>
    <row r="232" spans="1:14">
      <c r="A232" s="1" t="s">
        <v>14</v>
      </c>
    </row>
    <row r="233" spans="1:14">
      <c r="A233" t="s">
        <v>15</v>
      </c>
      <c r="B233" t="s">
        <v>16</v>
      </c>
      <c r="C233" t="s">
        <v>17</v>
      </c>
      <c r="D233" t="s">
        <v>1</v>
      </c>
      <c r="E233" t="s">
        <v>7</v>
      </c>
      <c r="F233" t="s">
        <v>18</v>
      </c>
      <c r="G233" t="s">
        <v>5</v>
      </c>
      <c r="H233" t="s">
        <v>203</v>
      </c>
      <c r="I233" t="s">
        <v>204</v>
      </c>
      <c r="J233" t="s">
        <v>206</v>
      </c>
      <c r="K233" t="s">
        <v>13</v>
      </c>
      <c r="L233" t="s">
        <v>208</v>
      </c>
      <c r="M233" t="s">
        <v>3</v>
      </c>
      <c r="N233" t="s">
        <v>209</v>
      </c>
    </row>
    <row r="234" spans="1:14">
      <c r="A234" t="s">
        <v>353</v>
      </c>
      <c r="B234">
        <v>1</v>
      </c>
      <c r="C234" t="s">
        <v>1413</v>
      </c>
      <c r="D234" t="s">
        <v>155</v>
      </c>
      <c r="E234" t="s">
        <v>7</v>
      </c>
      <c r="F234" t="s">
        <v>224</v>
      </c>
      <c r="G234" t="s">
        <v>24</v>
      </c>
      <c r="J234">
        <v>100</v>
      </c>
      <c r="M234" t="s">
        <v>353</v>
      </c>
    </row>
    <row r="235" spans="1:14">
      <c r="A235" t="s">
        <v>67</v>
      </c>
      <c r="B235">
        <v>2030</v>
      </c>
      <c r="C235" t="s">
        <v>171</v>
      </c>
      <c r="D235" t="s">
        <v>34</v>
      </c>
      <c r="E235" t="s">
        <v>38</v>
      </c>
      <c r="F235" t="s">
        <v>227</v>
      </c>
      <c r="G235" t="s">
        <v>26</v>
      </c>
      <c r="H235">
        <v>0</v>
      </c>
      <c r="I235">
        <v>2030</v>
      </c>
      <c r="L235" t="s">
        <v>68</v>
      </c>
      <c r="M235" t="s">
        <v>68</v>
      </c>
      <c r="N235" t="s">
        <v>330</v>
      </c>
    </row>
    <row r="236" spans="1:14">
      <c r="A236" t="s">
        <v>342</v>
      </c>
      <c r="B236">
        <v>35800</v>
      </c>
      <c r="C236" t="s">
        <v>171</v>
      </c>
      <c r="D236" t="s">
        <v>34</v>
      </c>
      <c r="E236" t="s">
        <v>38</v>
      </c>
      <c r="F236" t="s">
        <v>227</v>
      </c>
      <c r="G236" t="s">
        <v>26</v>
      </c>
      <c r="H236">
        <v>0</v>
      </c>
      <c r="I236">
        <v>35800</v>
      </c>
      <c r="L236" t="s">
        <v>343</v>
      </c>
      <c r="M236" t="s">
        <v>343</v>
      </c>
      <c r="N236" t="s">
        <v>344</v>
      </c>
    </row>
    <row r="237" spans="1:14">
      <c r="A237" t="s">
        <v>139</v>
      </c>
      <c r="B237">
        <v>2610</v>
      </c>
      <c r="C237" t="s">
        <v>171</v>
      </c>
      <c r="D237" t="s">
        <v>34</v>
      </c>
      <c r="E237" t="s">
        <v>38</v>
      </c>
      <c r="F237" t="s">
        <v>227</v>
      </c>
      <c r="G237" t="s">
        <v>26</v>
      </c>
      <c r="H237">
        <v>0</v>
      </c>
      <c r="I237">
        <v>2610</v>
      </c>
      <c r="L237" t="s">
        <v>140</v>
      </c>
      <c r="M237" t="s">
        <v>140</v>
      </c>
      <c r="N237" t="s">
        <v>345</v>
      </c>
    </row>
    <row r="238" spans="1:14">
      <c r="A238" t="s">
        <v>39</v>
      </c>
      <c r="B238">
        <v>33200</v>
      </c>
      <c r="C238" t="s">
        <v>171</v>
      </c>
      <c r="D238" t="s">
        <v>34</v>
      </c>
      <c r="E238" t="s">
        <v>38</v>
      </c>
      <c r="F238" t="s">
        <v>227</v>
      </c>
      <c r="G238" t="s">
        <v>26</v>
      </c>
      <c r="H238">
        <v>0</v>
      </c>
      <c r="I238">
        <v>33200</v>
      </c>
      <c r="L238" t="s">
        <v>40</v>
      </c>
      <c r="M238" t="s">
        <v>40</v>
      </c>
      <c r="N238" t="s">
        <v>299</v>
      </c>
    </row>
    <row r="239" spans="1:14">
      <c r="A239" t="s">
        <v>1253</v>
      </c>
      <c r="B239">
        <v>24900</v>
      </c>
      <c r="C239" t="s">
        <v>171</v>
      </c>
      <c r="D239" t="s">
        <v>155</v>
      </c>
      <c r="E239" t="s">
        <v>35</v>
      </c>
      <c r="F239" t="s">
        <v>227</v>
      </c>
      <c r="G239" t="s">
        <v>26</v>
      </c>
      <c r="H239">
        <v>0</v>
      </c>
      <c r="I239">
        <v>24900</v>
      </c>
      <c r="L239" t="s">
        <v>1254</v>
      </c>
      <c r="M239" t="s">
        <v>1254</v>
      </c>
      <c r="N239" t="s">
        <v>332</v>
      </c>
    </row>
    <row r="240" spans="1:14">
      <c r="A240" t="s">
        <v>300</v>
      </c>
      <c r="B240">
        <v>2080</v>
      </c>
      <c r="C240" t="s">
        <v>171</v>
      </c>
      <c r="D240" t="s">
        <v>20</v>
      </c>
      <c r="E240" t="s">
        <v>35</v>
      </c>
      <c r="F240" t="s">
        <v>227</v>
      </c>
      <c r="G240" t="s">
        <v>26</v>
      </c>
      <c r="H240">
        <v>0</v>
      </c>
      <c r="I240">
        <v>2080</v>
      </c>
      <c r="L240" t="s">
        <v>302</v>
      </c>
      <c r="M240" t="s">
        <v>1260</v>
      </c>
      <c r="N240" t="s">
        <v>303</v>
      </c>
    </row>
    <row r="241" spans="1:14">
      <c r="A241" t="s">
        <v>191</v>
      </c>
      <c r="B241">
        <v>3720</v>
      </c>
      <c r="C241" t="s">
        <v>171</v>
      </c>
      <c r="D241" t="s">
        <v>20</v>
      </c>
      <c r="E241" t="s">
        <v>38</v>
      </c>
      <c r="F241" t="s">
        <v>227</v>
      </c>
      <c r="G241" t="s">
        <v>26</v>
      </c>
      <c r="H241">
        <v>0</v>
      </c>
      <c r="I241">
        <v>3720</v>
      </c>
      <c r="M241" t="s">
        <v>191</v>
      </c>
      <c r="N241" t="s">
        <v>335</v>
      </c>
    </row>
    <row r="242" spans="1:14">
      <c r="A242" t="s">
        <v>350</v>
      </c>
      <c r="B242">
        <v>3720</v>
      </c>
      <c r="C242" t="s">
        <v>171</v>
      </c>
      <c r="D242" t="s">
        <v>351</v>
      </c>
      <c r="E242" t="s">
        <v>38</v>
      </c>
      <c r="F242" t="s">
        <v>227</v>
      </c>
      <c r="G242" t="s">
        <v>26</v>
      </c>
      <c r="H242">
        <v>0</v>
      </c>
      <c r="I242">
        <v>3720</v>
      </c>
      <c r="L242" t="s">
        <v>40</v>
      </c>
      <c r="M242" t="s">
        <v>40</v>
      </c>
      <c r="N242" t="s">
        <v>352</v>
      </c>
    </row>
    <row r="243" spans="1:14">
      <c r="A243" t="s">
        <v>193</v>
      </c>
      <c r="B243">
        <v>2030</v>
      </c>
      <c r="C243" t="s">
        <v>171</v>
      </c>
      <c r="D243" t="s">
        <v>20</v>
      </c>
      <c r="E243" t="s">
        <v>38</v>
      </c>
      <c r="F243" t="s">
        <v>227</v>
      </c>
      <c r="G243" t="s">
        <v>26</v>
      </c>
      <c r="H243">
        <v>0</v>
      </c>
      <c r="I243">
        <v>2030</v>
      </c>
      <c r="M243" t="s">
        <v>193</v>
      </c>
      <c r="N243" t="s">
        <v>336</v>
      </c>
    </row>
    <row r="245" spans="1:14">
      <c r="A245" s="1" t="s">
        <v>0</v>
      </c>
      <c r="B245" s="1" t="s">
        <v>353</v>
      </c>
    </row>
    <row r="246" spans="1:14">
      <c r="A246" t="s">
        <v>13</v>
      </c>
      <c r="B246" t="s">
        <v>328</v>
      </c>
    </row>
    <row r="247" spans="1:14">
      <c r="A247" t="s">
        <v>1</v>
      </c>
      <c r="B247" t="s">
        <v>20</v>
      </c>
    </row>
    <row r="248" spans="1:14">
      <c r="A248" t="s">
        <v>2</v>
      </c>
      <c r="B248">
        <v>1</v>
      </c>
    </row>
    <row r="249" spans="1:14">
      <c r="A249" t="s">
        <v>3</v>
      </c>
      <c r="B249" t="s">
        <v>353</v>
      </c>
    </row>
    <row r="250" spans="1:14">
      <c r="A250" t="s">
        <v>5</v>
      </c>
      <c r="B250" t="s">
        <v>6</v>
      </c>
    </row>
    <row r="251" spans="1:14">
      <c r="A251" t="s">
        <v>7</v>
      </c>
      <c r="B251" t="s">
        <v>7</v>
      </c>
    </row>
    <row r="252" spans="1:14">
      <c r="A252" s="1" t="s">
        <v>14</v>
      </c>
    </row>
    <row r="253" spans="1:14">
      <c r="A253" t="s">
        <v>15</v>
      </c>
      <c r="B253" t="s">
        <v>16</v>
      </c>
      <c r="C253" t="s">
        <v>17</v>
      </c>
      <c r="D253" t="s">
        <v>1</v>
      </c>
      <c r="E253" t="s">
        <v>7</v>
      </c>
      <c r="F253" t="s">
        <v>18</v>
      </c>
      <c r="G253" t="s">
        <v>5</v>
      </c>
      <c r="H253" t="s">
        <v>203</v>
      </c>
      <c r="I253" t="s">
        <v>204</v>
      </c>
      <c r="J253" t="s">
        <v>206</v>
      </c>
      <c r="K253" t="s">
        <v>13</v>
      </c>
      <c r="L253" t="s">
        <v>208</v>
      </c>
      <c r="M253" t="s">
        <v>3</v>
      </c>
      <c r="N253" t="s">
        <v>209</v>
      </c>
    </row>
    <row r="254" spans="1:14">
      <c r="A254" t="s">
        <v>353</v>
      </c>
      <c r="B254">
        <v>1</v>
      </c>
      <c r="C254" t="s">
        <v>1413</v>
      </c>
      <c r="D254" t="s">
        <v>20</v>
      </c>
      <c r="E254" t="s">
        <v>7</v>
      </c>
      <c r="F254" t="s">
        <v>224</v>
      </c>
      <c r="G254" t="s">
        <v>24</v>
      </c>
      <c r="J254">
        <v>100</v>
      </c>
      <c r="M254" t="s">
        <v>353</v>
      </c>
    </row>
    <row r="255" spans="1:14">
      <c r="A255" t="s">
        <v>67</v>
      </c>
      <c r="B255">
        <v>2030</v>
      </c>
      <c r="C255" t="s">
        <v>171</v>
      </c>
      <c r="D255" t="s">
        <v>34</v>
      </c>
      <c r="E255" t="s">
        <v>38</v>
      </c>
      <c r="F255" t="s">
        <v>227</v>
      </c>
      <c r="G255" t="s">
        <v>26</v>
      </c>
      <c r="H255">
        <v>0</v>
      </c>
      <c r="I255">
        <v>2030</v>
      </c>
      <c r="L255" t="s">
        <v>68</v>
      </c>
      <c r="M255" t="s">
        <v>68</v>
      </c>
      <c r="N255" t="s">
        <v>330</v>
      </c>
    </row>
    <row r="256" spans="1:14">
      <c r="A256" t="s">
        <v>342</v>
      </c>
      <c r="B256">
        <v>35800</v>
      </c>
      <c r="C256" t="s">
        <v>171</v>
      </c>
      <c r="D256" t="s">
        <v>34</v>
      </c>
      <c r="E256" t="s">
        <v>38</v>
      </c>
      <c r="F256" t="s">
        <v>227</v>
      </c>
      <c r="G256" t="s">
        <v>26</v>
      </c>
      <c r="H256">
        <v>0</v>
      </c>
      <c r="I256">
        <v>35800</v>
      </c>
      <c r="L256" t="s">
        <v>343</v>
      </c>
      <c r="M256" t="s">
        <v>343</v>
      </c>
      <c r="N256" t="s">
        <v>344</v>
      </c>
    </row>
    <row r="257" spans="1:14">
      <c r="A257" t="s">
        <v>139</v>
      </c>
      <c r="B257">
        <v>2610</v>
      </c>
      <c r="C257" t="s">
        <v>171</v>
      </c>
      <c r="D257" t="s">
        <v>34</v>
      </c>
      <c r="E257" t="s">
        <v>38</v>
      </c>
      <c r="F257" t="s">
        <v>227</v>
      </c>
      <c r="G257" t="s">
        <v>26</v>
      </c>
      <c r="H257">
        <v>0</v>
      </c>
      <c r="I257">
        <v>2610</v>
      </c>
      <c r="L257" t="s">
        <v>140</v>
      </c>
      <c r="M257" t="s">
        <v>140</v>
      </c>
      <c r="N257" t="s">
        <v>345</v>
      </c>
    </row>
    <row r="258" spans="1:14">
      <c r="A258" t="s">
        <v>39</v>
      </c>
      <c r="B258">
        <v>33200</v>
      </c>
      <c r="C258" t="s">
        <v>171</v>
      </c>
      <c r="D258" t="s">
        <v>34</v>
      </c>
      <c r="E258" t="s">
        <v>38</v>
      </c>
      <c r="F258" t="s">
        <v>227</v>
      </c>
      <c r="G258" t="s">
        <v>26</v>
      </c>
      <c r="H258">
        <v>0</v>
      </c>
      <c r="I258">
        <v>33200</v>
      </c>
      <c r="L258" t="s">
        <v>40</v>
      </c>
      <c r="M258" t="s">
        <v>40</v>
      </c>
      <c r="N258" t="s">
        <v>299</v>
      </c>
    </row>
    <row r="259" spans="1:14">
      <c r="A259" t="s">
        <v>1253</v>
      </c>
      <c r="B259">
        <v>8310</v>
      </c>
      <c r="C259" t="s">
        <v>171</v>
      </c>
      <c r="D259" t="s">
        <v>169</v>
      </c>
      <c r="E259" t="s">
        <v>35</v>
      </c>
      <c r="F259" t="s">
        <v>227</v>
      </c>
      <c r="G259" t="s">
        <v>26</v>
      </c>
      <c r="H259">
        <v>0</v>
      </c>
      <c r="I259">
        <v>8310</v>
      </c>
      <c r="L259" t="s">
        <v>1254</v>
      </c>
      <c r="M259" t="s">
        <v>1254</v>
      </c>
      <c r="N259" t="s">
        <v>332</v>
      </c>
    </row>
    <row r="260" spans="1:14">
      <c r="A260" t="s">
        <v>300</v>
      </c>
      <c r="B260">
        <v>4160</v>
      </c>
      <c r="C260" t="s">
        <v>171</v>
      </c>
      <c r="D260" t="s">
        <v>20</v>
      </c>
      <c r="E260" t="s">
        <v>35</v>
      </c>
      <c r="F260" t="s">
        <v>227</v>
      </c>
      <c r="G260" t="s">
        <v>26</v>
      </c>
      <c r="H260">
        <v>0</v>
      </c>
      <c r="I260">
        <v>4160</v>
      </c>
      <c r="L260" t="s">
        <v>302</v>
      </c>
      <c r="M260" t="s">
        <v>1260</v>
      </c>
      <c r="N260" t="s">
        <v>303</v>
      </c>
    </row>
    <row r="261" spans="1:14">
      <c r="A261" t="s">
        <v>191</v>
      </c>
      <c r="B261">
        <v>3720</v>
      </c>
      <c r="C261" t="s">
        <v>171</v>
      </c>
      <c r="D261" t="s">
        <v>20</v>
      </c>
      <c r="E261" t="s">
        <v>38</v>
      </c>
      <c r="F261" t="s">
        <v>227</v>
      </c>
      <c r="G261" t="s">
        <v>26</v>
      </c>
      <c r="H261">
        <v>0</v>
      </c>
      <c r="I261">
        <v>3720</v>
      </c>
      <c r="M261" t="s">
        <v>191</v>
      </c>
      <c r="N261" t="s">
        <v>335</v>
      </c>
    </row>
    <row r="262" spans="1:14">
      <c r="A262" t="s">
        <v>350</v>
      </c>
      <c r="B262">
        <v>3720</v>
      </c>
      <c r="C262" t="s">
        <v>171</v>
      </c>
      <c r="D262" t="s">
        <v>351</v>
      </c>
      <c r="E262" t="s">
        <v>38</v>
      </c>
      <c r="F262" t="s">
        <v>227</v>
      </c>
      <c r="G262" t="s">
        <v>26</v>
      </c>
      <c r="H262">
        <v>0</v>
      </c>
      <c r="I262">
        <v>3720</v>
      </c>
      <c r="L262" t="s">
        <v>40</v>
      </c>
      <c r="M262" t="s">
        <v>40</v>
      </c>
      <c r="N262" t="s">
        <v>352</v>
      </c>
    </row>
    <row r="263" spans="1:14">
      <c r="A263" t="s">
        <v>193</v>
      </c>
      <c r="B263">
        <v>2030</v>
      </c>
      <c r="C263" t="s">
        <v>171</v>
      </c>
      <c r="D263" t="s">
        <v>20</v>
      </c>
      <c r="E263" t="s">
        <v>38</v>
      </c>
      <c r="F263" t="s">
        <v>227</v>
      </c>
      <c r="G263" t="s">
        <v>26</v>
      </c>
      <c r="H263">
        <v>0</v>
      </c>
      <c r="I263">
        <v>2030</v>
      </c>
      <c r="M263" t="s">
        <v>193</v>
      </c>
      <c r="N263" t="s">
        <v>336</v>
      </c>
    </row>
    <row r="265" spans="1:14">
      <c r="A265" s="1" t="s">
        <v>0</v>
      </c>
      <c r="B265" s="1" t="s">
        <v>226</v>
      </c>
    </row>
    <row r="266" spans="1:14">
      <c r="A266" t="s">
        <v>13</v>
      </c>
      <c r="B266" t="s">
        <v>328</v>
      </c>
    </row>
    <row r="267" spans="1:14">
      <c r="A267" t="s">
        <v>1</v>
      </c>
      <c r="B267" t="s">
        <v>194</v>
      </c>
    </row>
    <row r="268" spans="1:14">
      <c r="A268" t="s">
        <v>2</v>
      </c>
      <c r="B268">
        <v>1</v>
      </c>
    </row>
    <row r="269" spans="1:14">
      <c r="A269" t="s">
        <v>3</v>
      </c>
      <c r="B269" t="s">
        <v>226</v>
      </c>
    </row>
    <row r="270" spans="1:14">
      <c r="A270" t="s">
        <v>5</v>
      </c>
      <c r="B270" t="s">
        <v>6</v>
      </c>
    </row>
    <row r="271" spans="1:14">
      <c r="A271" t="s">
        <v>7</v>
      </c>
      <c r="B271" t="s">
        <v>7</v>
      </c>
    </row>
    <row r="272" spans="1:14">
      <c r="A272" s="1" t="s">
        <v>14</v>
      </c>
    </row>
    <row r="273" spans="1:14">
      <c r="A273" t="s">
        <v>15</v>
      </c>
      <c r="B273" t="s">
        <v>16</v>
      </c>
      <c r="C273" t="s">
        <v>17</v>
      </c>
      <c r="D273" t="s">
        <v>1</v>
      </c>
      <c r="E273" t="s">
        <v>7</v>
      </c>
      <c r="F273" t="s">
        <v>18</v>
      </c>
      <c r="G273" t="s">
        <v>5</v>
      </c>
      <c r="H273" t="s">
        <v>203</v>
      </c>
      <c r="I273" t="s">
        <v>204</v>
      </c>
      <c r="J273" t="s">
        <v>206</v>
      </c>
      <c r="K273" t="s">
        <v>13</v>
      </c>
      <c r="L273" t="s">
        <v>208</v>
      </c>
      <c r="M273" t="s">
        <v>3</v>
      </c>
      <c r="N273" t="s">
        <v>209</v>
      </c>
    </row>
    <row r="274" spans="1:14">
      <c r="A274" t="s">
        <v>354</v>
      </c>
      <c r="B274">
        <v>1360000</v>
      </c>
      <c r="C274" t="s">
        <v>172</v>
      </c>
      <c r="E274" t="s">
        <v>188</v>
      </c>
      <c r="F274" t="s">
        <v>185</v>
      </c>
      <c r="G274" t="s">
        <v>126</v>
      </c>
      <c r="H274">
        <v>0</v>
      </c>
      <c r="I274">
        <v>1360000</v>
      </c>
    </row>
    <row r="275" spans="1:14">
      <c r="A275" t="s">
        <v>187</v>
      </c>
      <c r="B275">
        <v>1740000</v>
      </c>
      <c r="C275" t="s">
        <v>172</v>
      </c>
      <c r="E275" t="s">
        <v>188</v>
      </c>
      <c r="F275" t="s">
        <v>185</v>
      </c>
      <c r="G275" t="s">
        <v>126</v>
      </c>
      <c r="H275">
        <v>0</v>
      </c>
      <c r="I275">
        <v>1740000</v>
      </c>
    </row>
    <row r="276" spans="1:14">
      <c r="A276" t="s">
        <v>187</v>
      </c>
      <c r="B276">
        <v>2520000</v>
      </c>
      <c r="C276" t="s">
        <v>172</v>
      </c>
      <c r="E276" t="s">
        <v>188</v>
      </c>
      <c r="F276" t="s">
        <v>185</v>
      </c>
      <c r="G276" t="s">
        <v>126</v>
      </c>
      <c r="H276">
        <v>0</v>
      </c>
      <c r="I276">
        <v>2520000</v>
      </c>
    </row>
    <row r="277" spans="1:14">
      <c r="A277" t="s">
        <v>187</v>
      </c>
      <c r="B277">
        <v>600000</v>
      </c>
      <c r="C277" t="s">
        <v>172</v>
      </c>
      <c r="E277" t="s">
        <v>188</v>
      </c>
      <c r="F277" t="s">
        <v>185</v>
      </c>
      <c r="G277" t="s">
        <v>126</v>
      </c>
      <c r="H277">
        <v>0</v>
      </c>
      <c r="I277">
        <v>600000</v>
      </c>
    </row>
    <row r="278" spans="1:14">
      <c r="A278" t="s">
        <v>187</v>
      </c>
      <c r="B278">
        <v>900000</v>
      </c>
      <c r="C278" t="s">
        <v>172</v>
      </c>
      <c r="E278" t="s">
        <v>188</v>
      </c>
      <c r="F278" t="s">
        <v>185</v>
      </c>
      <c r="G278" t="s">
        <v>126</v>
      </c>
      <c r="H278">
        <v>0</v>
      </c>
      <c r="I278">
        <v>900000</v>
      </c>
    </row>
    <row r="279" spans="1:14">
      <c r="A279" t="s">
        <v>187</v>
      </c>
      <c r="B279">
        <v>2400000</v>
      </c>
      <c r="C279" t="s">
        <v>172</v>
      </c>
      <c r="E279" t="s">
        <v>188</v>
      </c>
      <c r="F279" t="s">
        <v>185</v>
      </c>
      <c r="G279" t="s">
        <v>126</v>
      </c>
      <c r="H279">
        <v>0</v>
      </c>
      <c r="I279">
        <v>2400000</v>
      </c>
    </row>
    <row r="280" spans="1:14">
      <c r="A280" t="s">
        <v>355</v>
      </c>
      <c r="B280">
        <v>136000</v>
      </c>
      <c r="C280" t="s">
        <v>172</v>
      </c>
      <c r="E280" t="s">
        <v>114</v>
      </c>
      <c r="F280" t="s">
        <v>185</v>
      </c>
      <c r="G280" t="s">
        <v>126</v>
      </c>
      <c r="H280">
        <v>0</v>
      </c>
      <c r="I280">
        <v>136000</v>
      </c>
    </row>
    <row r="281" spans="1:14">
      <c r="A281" t="s">
        <v>356</v>
      </c>
      <c r="B281">
        <v>136000</v>
      </c>
      <c r="C281" t="s">
        <v>172</v>
      </c>
      <c r="E281" t="s">
        <v>114</v>
      </c>
      <c r="F281" t="s">
        <v>185</v>
      </c>
      <c r="G281" t="s">
        <v>126</v>
      </c>
      <c r="H281">
        <v>0</v>
      </c>
      <c r="I281">
        <v>136000</v>
      </c>
    </row>
    <row r="282" spans="1:14">
      <c r="A282" t="s">
        <v>186</v>
      </c>
      <c r="B282">
        <v>29000</v>
      </c>
      <c r="C282" t="s">
        <v>172</v>
      </c>
      <c r="E282" t="s">
        <v>114</v>
      </c>
      <c r="F282" t="s">
        <v>185</v>
      </c>
      <c r="G282" t="s">
        <v>126</v>
      </c>
      <c r="H282">
        <v>0</v>
      </c>
      <c r="I282">
        <v>29000</v>
      </c>
    </row>
    <row r="283" spans="1:14">
      <c r="A283" t="s">
        <v>186</v>
      </c>
      <c r="B283">
        <v>42000</v>
      </c>
      <c r="C283" t="s">
        <v>172</v>
      </c>
      <c r="E283" t="s">
        <v>114</v>
      </c>
      <c r="F283" t="s">
        <v>185</v>
      </c>
      <c r="G283" t="s">
        <v>126</v>
      </c>
      <c r="H283">
        <v>0</v>
      </c>
      <c r="I283">
        <v>42000</v>
      </c>
    </row>
    <row r="284" spans="1:14">
      <c r="A284" t="s">
        <v>186</v>
      </c>
      <c r="B284">
        <v>10000</v>
      </c>
      <c r="C284" t="s">
        <v>172</v>
      </c>
      <c r="E284" t="s">
        <v>114</v>
      </c>
      <c r="F284" t="s">
        <v>185</v>
      </c>
      <c r="G284" t="s">
        <v>126</v>
      </c>
      <c r="H284">
        <v>0</v>
      </c>
      <c r="I284">
        <v>10000</v>
      </c>
    </row>
    <row r="285" spans="1:14">
      <c r="A285" t="s">
        <v>186</v>
      </c>
      <c r="B285">
        <v>15000</v>
      </c>
      <c r="C285" t="s">
        <v>172</v>
      </c>
      <c r="E285" t="s">
        <v>114</v>
      </c>
      <c r="F285" t="s">
        <v>185</v>
      </c>
      <c r="G285" t="s">
        <v>126</v>
      </c>
      <c r="H285">
        <v>0</v>
      </c>
      <c r="I285">
        <v>15000</v>
      </c>
    </row>
    <row r="286" spans="1:14">
      <c r="A286" t="s">
        <v>186</v>
      </c>
      <c r="B286">
        <v>40000</v>
      </c>
      <c r="C286" t="s">
        <v>172</v>
      </c>
      <c r="E286" t="s">
        <v>114</v>
      </c>
      <c r="F286" t="s">
        <v>185</v>
      </c>
      <c r="G286" t="s">
        <v>126</v>
      </c>
      <c r="H286">
        <v>0</v>
      </c>
      <c r="I286">
        <v>40000</v>
      </c>
    </row>
    <row r="287" spans="1:14">
      <c r="A287" t="s">
        <v>226</v>
      </c>
      <c r="B287">
        <v>1</v>
      </c>
      <c r="C287" t="s">
        <v>1413</v>
      </c>
      <c r="D287" t="s">
        <v>194</v>
      </c>
      <c r="E287" t="s">
        <v>7</v>
      </c>
      <c r="F287" t="s">
        <v>224</v>
      </c>
      <c r="G287" t="s">
        <v>24</v>
      </c>
      <c r="J287">
        <v>100</v>
      </c>
      <c r="M287" t="s">
        <v>226</v>
      </c>
    </row>
    <row r="288" spans="1:14">
      <c r="A288" t="s">
        <v>347</v>
      </c>
      <c r="B288">
        <v>1</v>
      </c>
      <c r="C288" t="s">
        <v>1413</v>
      </c>
      <c r="D288" t="s">
        <v>20</v>
      </c>
      <c r="E288" t="s">
        <v>7</v>
      </c>
      <c r="F288" t="s">
        <v>227</v>
      </c>
      <c r="G288" t="s">
        <v>26</v>
      </c>
      <c r="H288">
        <v>0</v>
      </c>
      <c r="I288">
        <v>1</v>
      </c>
      <c r="M288" t="s">
        <v>347</v>
      </c>
    </row>
    <row r="289" spans="1:14">
      <c r="A289" t="s">
        <v>357</v>
      </c>
      <c r="B289">
        <v>1</v>
      </c>
      <c r="C289" t="s">
        <v>1413</v>
      </c>
      <c r="D289" t="s">
        <v>20</v>
      </c>
      <c r="E289" t="s">
        <v>7</v>
      </c>
      <c r="F289" t="s">
        <v>227</v>
      </c>
      <c r="G289" t="s">
        <v>26</v>
      </c>
      <c r="H289">
        <v>0</v>
      </c>
      <c r="I289">
        <v>1</v>
      </c>
      <c r="M289" t="s">
        <v>357</v>
      </c>
    </row>
    <row r="290" spans="1:14">
      <c r="A290" t="s">
        <v>358</v>
      </c>
      <c r="B290">
        <v>1</v>
      </c>
      <c r="C290" t="s">
        <v>1413</v>
      </c>
      <c r="D290" t="s">
        <v>20</v>
      </c>
      <c r="E290" t="s">
        <v>7</v>
      </c>
      <c r="F290" t="s">
        <v>227</v>
      </c>
      <c r="G290" t="s">
        <v>26</v>
      </c>
      <c r="H290">
        <v>0</v>
      </c>
      <c r="I290">
        <v>1</v>
      </c>
      <c r="M290" t="s">
        <v>358</v>
      </c>
    </row>
    <row r="291" spans="1:14">
      <c r="A291" t="s">
        <v>359</v>
      </c>
      <c r="B291">
        <v>290000</v>
      </c>
      <c r="C291" t="s">
        <v>171</v>
      </c>
      <c r="D291" t="s">
        <v>20</v>
      </c>
      <c r="E291" t="s">
        <v>119</v>
      </c>
      <c r="F291" t="s">
        <v>227</v>
      </c>
      <c r="G291" t="s">
        <v>26</v>
      </c>
      <c r="H291">
        <v>0</v>
      </c>
      <c r="I291">
        <v>290000</v>
      </c>
      <c r="M291" t="s">
        <v>359</v>
      </c>
      <c r="N291" t="s">
        <v>360</v>
      </c>
    </row>
    <row r="292" spans="1:14">
      <c r="A292" t="s">
        <v>361</v>
      </c>
      <c r="B292">
        <v>290000</v>
      </c>
      <c r="C292" t="s">
        <v>171</v>
      </c>
      <c r="D292" t="s">
        <v>20</v>
      </c>
      <c r="E292" t="s">
        <v>119</v>
      </c>
      <c r="F292" t="s">
        <v>227</v>
      </c>
      <c r="G292" t="s">
        <v>26</v>
      </c>
      <c r="H292">
        <v>0</v>
      </c>
      <c r="I292">
        <v>290000</v>
      </c>
      <c r="M292" t="s">
        <v>361</v>
      </c>
      <c r="N292" t="s">
        <v>362</v>
      </c>
    </row>
    <row r="293" spans="1:14">
      <c r="A293" t="s">
        <v>363</v>
      </c>
      <c r="B293">
        <v>214000000</v>
      </c>
      <c r="C293" t="s">
        <v>171</v>
      </c>
      <c r="D293" t="s">
        <v>169</v>
      </c>
      <c r="E293" t="s">
        <v>33</v>
      </c>
      <c r="F293" t="s">
        <v>227</v>
      </c>
      <c r="G293" t="s">
        <v>26</v>
      </c>
      <c r="H293">
        <v>0</v>
      </c>
      <c r="I293">
        <v>214000000</v>
      </c>
      <c r="L293" t="s">
        <v>363</v>
      </c>
      <c r="M293" t="s">
        <v>363</v>
      </c>
      <c r="N293" t="s">
        <v>364</v>
      </c>
    </row>
    <row r="294" spans="1:14">
      <c r="A294" t="s">
        <v>365</v>
      </c>
      <c r="B294">
        <v>796000000</v>
      </c>
      <c r="C294" t="s">
        <v>171</v>
      </c>
      <c r="D294" t="s">
        <v>194</v>
      </c>
      <c r="E294" t="s">
        <v>8</v>
      </c>
      <c r="F294" t="s">
        <v>227</v>
      </c>
      <c r="G294" t="s">
        <v>26</v>
      </c>
      <c r="H294">
        <v>0</v>
      </c>
      <c r="I294">
        <v>796000000</v>
      </c>
      <c r="L294" t="s">
        <v>366</v>
      </c>
      <c r="M294" t="s">
        <v>366</v>
      </c>
      <c r="N294" t="s">
        <v>367</v>
      </c>
    </row>
    <row r="295" spans="1:14">
      <c r="A295" t="s">
        <v>300</v>
      </c>
      <c r="B295">
        <v>1010000</v>
      </c>
      <c r="C295" t="s">
        <v>171</v>
      </c>
      <c r="D295" t="s">
        <v>20</v>
      </c>
      <c r="E295" t="s">
        <v>35</v>
      </c>
      <c r="F295" t="s">
        <v>227</v>
      </c>
      <c r="G295" t="s">
        <v>26</v>
      </c>
      <c r="H295">
        <v>0</v>
      </c>
      <c r="I295">
        <v>1010000</v>
      </c>
      <c r="L295" t="s">
        <v>302</v>
      </c>
      <c r="M295" t="s">
        <v>1260</v>
      </c>
      <c r="N295" t="s">
        <v>303</v>
      </c>
    </row>
    <row r="297" spans="1:14">
      <c r="A297" s="1" t="s">
        <v>0</v>
      </c>
      <c r="B297" s="1" t="s">
        <v>229</v>
      </c>
    </row>
    <row r="298" spans="1:14">
      <c r="A298" t="s">
        <v>13</v>
      </c>
      <c r="B298" t="s">
        <v>328</v>
      </c>
    </row>
    <row r="299" spans="1:14">
      <c r="A299" t="s">
        <v>1</v>
      </c>
      <c r="B299" t="s">
        <v>194</v>
      </c>
    </row>
    <row r="300" spans="1:14">
      <c r="A300" t="s">
        <v>2</v>
      </c>
      <c r="B300">
        <v>1</v>
      </c>
    </row>
    <row r="301" spans="1:14">
      <c r="A301" t="s">
        <v>3</v>
      </c>
      <c r="B301" t="s">
        <v>229</v>
      </c>
    </row>
    <row r="302" spans="1:14">
      <c r="A302" t="s">
        <v>5</v>
      </c>
      <c r="B302" t="s">
        <v>6</v>
      </c>
    </row>
    <row r="303" spans="1:14">
      <c r="A303" t="s">
        <v>7</v>
      </c>
      <c r="B303" t="s">
        <v>7</v>
      </c>
    </row>
    <row r="304" spans="1:14">
      <c r="A304" s="1" t="s">
        <v>14</v>
      </c>
    </row>
    <row r="305" spans="1:14">
      <c r="A305" t="s">
        <v>15</v>
      </c>
      <c r="B305" t="s">
        <v>16</v>
      </c>
      <c r="C305" t="s">
        <v>17</v>
      </c>
      <c r="D305" t="s">
        <v>1</v>
      </c>
      <c r="E305" t="s">
        <v>7</v>
      </c>
      <c r="F305" t="s">
        <v>18</v>
      </c>
      <c r="G305" t="s">
        <v>5</v>
      </c>
      <c r="H305" t="s">
        <v>203</v>
      </c>
      <c r="I305" t="s">
        <v>204</v>
      </c>
      <c r="J305" t="s">
        <v>206</v>
      </c>
      <c r="K305" t="s">
        <v>13</v>
      </c>
      <c r="L305" t="s">
        <v>208</v>
      </c>
      <c r="M305" t="s">
        <v>3</v>
      </c>
      <c r="N305" t="s">
        <v>209</v>
      </c>
    </row>
    <row r="306" spans="1:14">
      <c r="A306" t="s">
        <v>229</v>
      </c>
      <c r="B306">
        <v>1</v>
      </c>
      <c r="C306" t="s">
        <v>1413</v>
      </c>
      <c r="D306" t="s">
        <v>194</v>
      </c>
      <c r="E306" t="s">
        <v>7</v>
      </c>
      <c r="F306" t="s">
        <v>224</v>
      </c>
      <c r="G306" t="s">
        <v>24</v>
      </c>
      <c r="J306">
        <v>100</v>
      </c>
      <c r="M306" t="s">
        <v>229</v>
      </c>
    </row>
    <row r="307" spans="1:14">
      <c r="A307" t="s">
        <v>32</v>
      </c>
      <c r="B307">
        <v>285000000</v>
      </c>
      <c r="C307" t="s">
        <v>171</v>
      </c>
      <c r="D307" t="s">
        <v>34</v>
      </c>
      <c r="E307" t="s">
        <v>33</v>
      </c>
      <c r="F307" t="s">
        <v>227</v>
      </c>
      <c r="G307" t="s">
        <v>26</v>
      </c>
      <c r="H307">
        <v>0</v>
      </c>
      <c r="I307">
        <v>285000000</v>
      </c>
      <c r="M307" t="s">
        <v>32</v>
      </c>
      <c r="N307" t="s">
        <v>371</v>
      </c>
    </row>
    <row r="308" spans="1:14">
      <c r="A308" t="s">
        <v>300</v>
      </c>
      <c r="B308">
        <v>1330000</v>
      </c>
      <c r="C308" t="s">
        <v>171</v>
      </c>
      <c r="D308" t="s">
        <v>20</v>
      </c>
      <c r="E308" t="s">
        <v>35</v>
      </c>
      <c r="F308" t="s">
        <v>227</v>
      </c>
      <c r="G308" t="s">
        <v>26</v>
      </c>
      <c r="H308">
        <v>0</v>
      </c>
      <c r="I308">
        <v>1330000</v>
      </c>
      <c r="L308" t="s">
        <v>302</v>
      </c>
      <c r="M308" t="s">
        <v>1260</v>
      </c>
      <c r="N308" t="s">
        <v>303</v>
      </c>
    </row>
    <row r="309" spans="1:14">
      <c r="A309" t="s">
        <v>300</v>
      </c>
      <c r="B309">
        <v>4130000</v>
      </c>
      <c r="C309" t="s">
        <v>171</v>
      </c>
      <c r="D309" t="s">
        <v>20</v>
      </c>
      <c r="E309" t="s">
        <v>35</v>
      </c>
      <c r="F309" t="s">
        <v>227</v>
      </c>
      <c r="G309" t="s">
        <v>26</v>
      </c>
      <c r="H309">
        <v>0</v>
      </c>
      <c r="I309">
        <v>4130000</v>
      </c>
      <c r="L309" t="s">
        <v>302</v>
      </c>
      <c r="M309" t="s">
        <v>1260</v>
      </c>
      <c r="N309" t="s">
        <v>303</v>
      </c>
    </row>
    <row r="310" spans="1:14">
      <c r="A310" t="s">
        <v>300</v>
      </c>
      <c r="B310">
        <v>12500000</v>
      </c>
      <c r="C310" t="s">
        <v>171</v>
      </c>
      <c r="D310" t="s">
        <v>20</v>
      </c>
      <c r="E310" t="s">
        <v>35</v>
      </c>
      <c r="F310" t="s">
        <v>227</v>
      </c>
      <c r="G310" t="s">
        <v>26</v>
      </c>
      <c r="H310">
        <v>0</v>
      </c>
      <c r="I310">
        <v>12500000</v>
      </c>
      <c r="L310" t="s">
        <v>302</v>
      </c>
      <c r="M310" t="s">
        <v>1260</v>
      </c>
      <c r="N310" t="s">
        <v>303</v>
      </c>
    </row>
    <row r="311" spans="1:14">
      <c r="A311" t="s">
        <v>372</v>
      </c>
      <c r="B311">
        <v>-624000000</v>
      </c>
      <c r="C311" t="s">
        <v>171</v>
      </c>
      <c r="D311" t="s">
        <v>155</v>
      </c>
      <c r="E311" t="s">
        <v>38</v>
      </c>
      <c r="F311" t="s">
        <v>247</v>
      </c>
      <c r="G311" t="s">
        <v>26</v>
      </c>
      <c r="H311">
        <v>0</v>
      </c>
      <c r="I311">
        <v>624000000</v>
      </c>
      <c r="L311" t="s">
        <v>373</v>
      </c>
      <c r="M311" t="s">
        <v>373</v>
      </c>
      <c r="N311" t="s">
        <v>374</v>
      </c>
    </row>
    <row r="313" spans="1:14">
      <c r="A313" s="1" t="s">
        <v>0</v>
      </c>
      <c r="B313" s="1" t="s">
        <v>229</v>
      </c>
    </row>
    <row r="314" spans="1:14">
      <c r="A314" t="s">
        <v>13</v>
      </c>
      <c r="B314" t="s">
        <v>328</v>
      </c>
    </row>
    <row r="315" spans="1:14">
      <c r="A315" t="s">
        <v>1</v>
      </c>
      <c r="B315" t="s">
        <v>20</v>
      </c>
    </row>
    <row r="316" spans="1:14">
      <c r="A316" t="s">
        <v>2</v>
      </c>
      <c r="B316">
        <v>1</v>
      </c>
    </row>
    <row r="317" spans="1:14">
      <c r="A317" t="s">
        <v>3</v>
      </c>
      <c r="B317" t="s">
        <v>229</v>
      </c>
    </row>
    <row r="318" spans="1:14">
      <c r="A318" t="s">
        <v>5</v>
      </c>
      <c r="B318" t="s">
        <v>6</v>
      </c>
    </row>
    <row r="319" spans="1:14">
      <c r="A319" t="s">
        <v>7</v>
      </c>
      <c r="B319" t="s">
        <v>7</v>
      </c>
    </row>
    <row r="320" spans="1:14">
      <c r="A320" s="1" t="s">
        <v>14</v>
      </c>
    </row>
    <row r="321" spans="1:14">
      <c r="A321" t="s">
        <v>15</v>
      </c>
      <c r="B321" t="s">
        <v>16</v>
      </c>
      <c r="C321" t="s">
        <v>17</v>
      </c>
      <c r="D321" t="s">
        <v>1</v>
      </c>
      <c r="E321" t="s">
        <v>7</v>
      </c>
      <c r="F321" t="s">
        <v>18</v>
      </c>
      <c r="G321" t="s">
        <v>5</v>
      </c>
      <c r="H321" t="s">
        <v>203</v>
      </c>
      <c r="I321" t="s">
        <v>204</v>
      </c>
      <c r="J321" t="s">
        <v>206</v>
      </c>
      <c r="K321" t="s">
        <v>13</v>
      </c>
      <c r="L321" t="s">
        <v>208</v>
      </c>
      <c r="M321" t="s">
        <v>3</v>
      </c>
      <c r="N321" t="s">
        <v>209</v>
      </c>
    </row>
    <row r="322" spans="1:14">
      <c r="A322" t="s">
        <v>229</v>
      </c>
      <c r="B322">
        <v>1</v>
      </c>
      <c r="C322" t="s">
        <v>1413</v>
      </c>
      <c r="D322" t="s">
        <v>20</v>
      </c>
      <c r="E322" t="s">
        <v>7</v>
      </c>
      <c r="F322" t="s">
        <v>224</v>
      </c>
      <c r="G322" t="s">
        <v>24</v>
      </c>
      <c r="J322">
        <v>100</v>
      </c>
      <c r="M322" t="s">
        <v>229</v>
      </c>
    </row>
    <row r="323" spans="1:14">
      <c r="A323" t="s">
        <v>32</v>
      </c>
      <c r="B323">
        <v>285000000</v>
      </c>
      <c r="C323" t="s">
        <v>171</v>
      </c>
      <c r="D323" t="s">
        <v>34</v>
      </c>
      <c r="E323" t="s">
        <v>33</v>
      </c>
      <c r="F323" t="s">
        <v>227</v>
      </c>
      <c r="G323" t="s">
        <v>26</v>
      </c>
      <c r="H323">
        <v>0</v>
      </c>
      <c r="I323">
        <v>285000000</v>
      </c>
      <c r="M323" t="s">
        <v>32</v>
      </c>
      <c r="N323" t="s">
        <v>371</v>
      </c>
    </row>
    <row r="324" spans="1:14">
      <c r="A324" t="s">
        <v>300</v>
      </c>
      <c r="B324">
        <v>1330000</v>
      </c>
      <c r="C324" t="s">
        <v>171</v>
      </c>
      <c r="D324" t="s">
        <v>20</v>
      </c>
      <c r="E324" t="s">
        <v>35</v>
      </c>
      <c r="F324" t="s">
        <v>227</v>
      </c>
      <c r="G324" t="s">
        <v>26</v>
      </c>
      <c r="H324">
        <v>0</v>
      </c>
      <c r="I324">
        <v>1330000</v>
      </c>
      <c r="L324" t="s">
        <v>302</v>
      </c>
      <c r="M324" t="s">
        <v>1260</v>
      </c>
      <c r="N324" t="s">
        <v>303</v>
      </c>
    </row>
    <row r="325" spans="1:14">
      <c r="A325" t="s">
        <v>300</v>
      </c>
      <c r="B325">
        <v>4130000</v>
      </c>
      <c r="C325" t="s">
        <v>171</v>
      </c>
      <c r="D325" t="s">
        <v>20</v>
      </c>
      <c r="E325" t="s">
        <v>35</v>
      </c>
      <c r="F325" t="s">
        <v>227</v>
      </c>
      <c r="G325" t="s">
        <v>26</v>
      </c>
      <c r="H325">
        <v>0</v>
      </c>
      <c r="I325">
        <v>4130000</v>
      </c>
      <c r="L325" t="s">
        <v>302</v>
      </c>
      <c r="M325" t="s">
        <v>1260</v>
      </c>
      <c r="N325" t="s">
        <v>303</v>
      </c>
    </row>
    <row r="326" spans="1:14">
      <c r="A326" t="s">
        <v>300</v>
      </c>
      <c r="B326">
        <v>12500000</v>
      </c>
      <c r="C326" t="s">
        <v>171</v>
      </c>
      <c r="D326" t="s">
        <v>20</v>
      </c>
      <c r="E326" t="s">
        <v>35</v>
      </c>
      <c r="F326" t="s">
        <v>227</v>
      </c>
      <c r="G326" t="s">
        <v>26</v>
      </c>
      <c r="H326">
        <v>0</v>
      </c>
      <c r="I326">
        <v>12500000</v>
      </c>
      <c r="L326" t="s">
        <v>302</v>
      </c>
      <c r="M326" t="s">
        <v>1260</v>
      </c>
      <c r="N326" t="s">
        <v>303</v>
      </c>
    </row>
    <row r="327" spans="1:14">
      <c r="A327" t="s">
        <v>372</v>
      </c>
      <c r="B327">
        <v>-624000000</v>
      </c>
      <c r="C327" t="s">
        <v>171</v>
      </c>
      <c r="D327" t="s">
        <v>155</v>
      </c>
      <c r="E327" t="s">
        <v>38</v>
      </c>
      <c r="F327" t="s">
        <v>247</v>
      </c>
      <c r="G327" t="s">
        <v>26</v>
      </c>
      <c r="H327">
        <v>0</v>
      </c>
      <c r="I327">
        <v>624000000</v>
      </c>
      <c r="L327" t="s">
        <v>373</v>
      </c>
      <c r="M327" t="s">
        <v>373</v>
      </c>
      <c r="N327" t="s">
        <v>374</v>
      </c>
    </row>
    <row r="329" spans="1:14">
      <c r="A329" s="1" t="s">
        <v>0</v>
      </c>
      <c r="B329" s="1" t="s">
        <v>375</v>
      </c>
    </row>
    <row r="330" spans="1:14">
      <c r="A330" t="s">
        <v>13</v>
      </c>
      <c r="B330" t="s">
        <v>328</v>
      </c>
    </row>
    <row r="331" spans="1:14">
      <c r="A331" t="s">
        <v>1</v>
      </c>
      <c r="B331" t="s">
        <v>20</v>
      </c>
    </row>
    <row r="332" spans="1:14">
      <c r="A332" t="s">
        <v>2</v>
      </c>
      <c r="B332">
        <v>1</v>
      </c>
    </row>
    <row r="333" spans="1:14">
      <c r="A333" t="s">
        <v>3</v>
      </c>
      <c r="B333" t="s">
        <v>375</v>
      </c>
    </row>
    <row r="334" spans="1:14">
      <c r="A334" t="s">
        <v>5</v>
      </c>
      <c r="B334" t="s">
        <v>6</v>
      </c>
    </row>
    <row r="335" spans="1:14">
      <c r="A335" t="s">
        <v>7</v>
      </c>
      <c r="B335" t="s">
        <v>7</v>
      </c>
    </row>
    <row r="336" spans="1:14">
      <c r="A336" s="1" t="s">
        <v>14</v>
      </c>
    </row>
    <row r="337" spans="1:14">
      <c r="A337" t="s">
        <v>15</v>
      </c>
      <c r="B337" t="s">
        <v>16</v>
      </c>
      <c r="C337" t="s">
        <v>17</v>
      </c>
      <c r="D337" t="s">
        <v>1</v>
      </c>
      <c r="E337" t="s">
        <v>7</v>
      </c>
      <c r="F337" t="s">
        <v>18</v>
      </c>
      <c r="G337" t="s">
        <v>5</v>
      </c>
      <c r="H337" t="s">
        <v>203</v>
      </c>
      <c r="I337" t="s">
        <v>204</v>
      </c>
      <c r="J337" t="s">
        <v>206</v>
      </c>
      <c r="K337" t="s">
        <v>13</v>
      </c>
      <c r="L337" t="s">
        <v>208</v>
      </c>
      <c r="M337" t="s">
        <v>3</v>
      </c>
      <c r="N337" t="s">
        <v>209</v>
      </c>
    </row>
    <row r="338" spans="1:14">
      <c r="A338" t="s">
        <v>375</v>
      </c>
      <c r="B338">
        <v>1</v>
      </c>
      <c r="C338" t="s">
        <v>1413</v>
      </c>
      <c r="D338" t="s">
        <v>20</v>
      </c>
      <c r="E338" t="s">
        <v>7</v>
      </c>
      <c r="F338" t="s">
        <v>224</v>
      </c>
      <c r="G338" t="s">
        <v>24</v>
      </c>
      <c r="J338">
        <v>100</v>
      </c>
      <c r="M338" t="s">
        <v>375</v>
      </c>
    </row>
    <row r="339" spans="1:14">
      <c r="A339" t="s">
        <v>342</v>
      </c>
      <c r="B339">
        <v>2500000</v>
      </c>
      <c r="C339" t="s">
        <v>171</v>
      </c>
      <c r="D339" t="s">
        <v>34</v>
      </c>
      <c r="E339" t="s">
        <v>38</v>
      </c>
      <c r="F339" t="s">
        <v>227</v>
      </c>
      <c r="G339" t="s">
        <v>26</v>
      </c>
      <c r="H339">
        <v>0</v>
      </c>
      <c r="I339">
        <v>2500000</v>
      </c>
      <c r="L339" t="s">
        <v>343</v>
      </c>
      <c r="M339" t="s">
        <v>343</v>
      </c>
      <c r="N339" t="s">
        <v>344</v>
      </c>
    </row>
    <row r="340" spans="1:14">
      <c r="A340" t="s">
        <v>139</v>
      </c>
      <c r="B340">
        <v>2500000</v>
      </c>
      <c r="C340" t="s">
        <v>171</v>
      </c>
      <c r="D340" t="s">
        <v>34</v>
      </c>
      <c r="E340" t="s">
        <v>38</v>
      </c>
      <c r="F340" t="s">
        <v>227</v>
      </c>
      <c r="G340" t="s">
        <v>26</v>
      </c>
      <c r="H340">
        <v>0</v>
      </c>
      <c r="I340">
        <v>2500000</v>
      </c>
      <c r="L340" t="s">
        <v>140</v>
      </c>
      <c r="M340" t="s">
        <v>140</v>
      </c>
      <c r="N340" t="s">
        <v>345</v>
      </c>
    </row>
    <row r="341" spans="1:14">
      <c r="A341" t="s">
        <v>1253</v>
      </c>
      <c r="B341">
        <v>550000</v>
      </c>
      <c r="C341" t="s">
        <v>171</v>
      </c>
      <c r="D341" t="s">
        <v>169</v>
      </c>
      <c r="E341" t="s">
        <v>35</v>
      </c>
      <c r="F341" t="s">
        <v>227</v>
      </c>
      <c r="G341" t="s">
        <v>26</v>
      </c>
      <c r="H341">
        <v>0</v>
      </c>
      <c r="I341">
        <v>550000</v>
      </c>
      <c r="L341" t="s">
        <v>1254</v>
      </c>
      <c r="M341" t="s">
        <v>1254</v>
      </c>
      <c r="N341" t="s">
        <v>332</v>
      </c>
    </row>
    <row r="342" spans="1:14">
      <c r="A342" t="s">
        <v>300</v>
      </c>
      <c r="B342">
        <v>275000</v>
      </c>
      <c r="C342" t="s">
        <v>171</v>
      </c>
      <c r="D342" t="s">
        <v>20</v>
      </c>
      <c r="E342" t="s">
        <v>35</v>
      </c>
      <c r="F342" t="s">
        <v>227</v>
      </c>
      <c r="G342" t="s">
        <v>26</v>
      </c>
      <c r="H342">
        <v>0</v>
      </c>
      <c r="I342">
        <v>275000</v>
      </c>
      <c r="L342" t="s">
        <v>302</v>
      </c>
      <c r="M342" t="s">
        <v>1260</v>
      </c>
      <c r="N342" t="s">
        <v>303</v>
      </c>
    </row>
    <row r="344" spans="1:14">
      <c r="A344" s="1" t="s">
        <v>0</v>
      </c>
      <c r="B344" s="1" t="s">
        <v>376</v>
      </c>
    </row>
    <row r="345" spans="1:14">
      <c r="A345" t="s">
        <v>13</v>
      </c>
      <c r="B345" t="s">
        <v>328</v>
      </c>
    </row>
    <row r="346" spans="1:14">
      <c r="A346" t="s">
        <v>1</v>
      </c>
      <c r="B346" t="s">
        <v>20</v>
      </c>
    </row>
    <row r="347" spans="1:14">
      <c r="A347" t="s">
        <v>2</v>
      </c>
      <c r="B347">
        <v>1</v>
      </c>
    </row>
    <row r="348" spans="1:14">
      <c r="A348" t="s">
        <v>3</v>
      </c>
      <c r="B348" t="s">
        <v>376</v>
      </c>
    </row>
    <row r="349" spans="1:14">
      <c r="A349" t="s">
        <v>5</v>
      </c>
      <c r="B349" t="s">
        <v>6</v>
      </c>
    </row>
    <row r="350" spans="1:14">
      <c r="A350" t="s">
        <v>7</v>
      </c>
      <c r="B350" t="s">
        <v>7</v>
      </c>
    </row>
    <row r="351" spans="1:14">
      <c r="A351" s="1" t="s">
        <v>14</v>
      </c>
    </row>
    <row r="352" spans="1:14">
      <c r="A352" t="s">
        <v>15</v>
      </c>
      <c r="B352" t="s">
        <v>16</v>
      </c>
      <c r="C352" t="s">
        <v>17</v>
      </c>
      <c r="D352" t="s">
        <v>1</v>
      </c>
      <c r="E352" t="s">
        <v>7</v>
      </c>
      <c r="F352" t="s">
        <v>18</v>
      </c>
      <c r="G352" t="s">
        <v>5</v>
      </c>
      <c r="H352" t="s">
        <v>203</v>
      </c>
      <c r="I352" t="s">
        <v>204</v>
      </c>
      <c r="J352" t="s">
        <v>206</v>
      </c>
      <c r="K352" t="s">
        <v>13</v>
      </c>
      <c r="L352" t="s">
        <v>208</v>
      </c>
      <c r="M352" t="s">
        <v>3</v>
      </c>
      <c r="N352" t="s">
        <v>209</v>
      </c>
    </row>
    <row r="353" spans="1:14">
      <c r="A353" t="s">
        <v>376</v>
      </c>
      <c r="B353">
        <v>1</v>
      </c>
      <c r="C353" t="s">
        <v>1413</v>
      </c>
      <c r="D353" t="s">
        <v>20</v>
      </c>
      <c r="E353" t="s">
        <v>7</v>
      </c>
      <c r="F353" t="s">
        <v>224</v>
      </c>
      <c r="G353" t="s">
        <v>24</v>
      </c>
      <c r="J353">
        <v>100</v>
      </c>
      <c r="M353" t="s">
        <v>376</v>
      </c>
    </row>
    <row r="354" spans="1:14">
      <c r="A354" t="s">
        <v>293</v>
      </c>
      <c r="B354">
        <v>5000</v>
      </c>
      <c r="C354" t="s">
        <v>171</v>
      </c>
      <c r="D354" t="s">
        <v>34</v>
      </c>
      <c r="E354" t="s">
        <v>38</v>
      </c>
      <c r="F354" t="s">
        <v>227</v>
      </c>
      <c r="G354" t="s">
        <v>26</v>
      </c>
      <c r="H354">
        <v>0</v>
      </c>
      <c r="I354">
        <v>5000</v>
      </c>
      <c r="L354" t="s">
        <v>189</v>
      </c>
      <c r="M354" t="s">
        <v>189</v>
      </c>
      <c r="N354" t="s">
        <v>294</v>
      </c>
    </row>
    <row r="355" spans="1:14">
      <c r="A355" t="s">
        <v>1253</v>
      </c>
      <c r="B355">
        <v>1100</v>
      </c>
      <c r="C355" t="s">
        <v>171</v>
      </c>
      <c r="D355" t="s">
        <v>169</v>
      </c>
      <c r="E355" t="s">
        <v>35</v>
      </c>
      <c r="F355" t="s">
        <v>227</v>
      </c>
      <c r="G355" t="s">
        <v>26</v>
      </c>
      <c r="H355">
        <v>0</v>
      </c>
      <c r="I355">
        <v>1100</v>
      </c>
      <c r="L355" t="s">
        <v>1254</v>
      </c>
      <c r="M355" t="s">
        <v>1254</v>
      </c>
      <c r="N355" t="s">
        <v>332</v>
      </c>
    </row>
    <row r="356" spans="1:14">
      <c r="A356" t="s">
        <v>300</v>
      </c>
      <c r="B356">
        <v>500</v>
      </c>
      <c r="C356" t="s">
        <v>171</v>
      </c>
      <c r="D356" t="s">
        <v>20</v>
      </c>
      <c r="E356" t="s">
        <v>35</v>
      </c>
      <c r="F356" t="s">
        <v>227</v>
      </c>
      <c r="G356" t="s">
        <v>26</v>
      </c>
      <c r="H356">
        <v>0</v>
      </c>
      <c r="I356">
        <v>500</v>
      </c>
      <c r="L356" t="s">
        <v>302</v>
      </c>
      <c r="M356" t="s">
        <v>1260</v>
      </c>
      <c r="N356" t="s">
        <v>303</v>
      </c>
    </row>
    <row r="357" spans="1:14">
      <c r="A357" t="s">
        <v>191</v>
      </c>
      <c r="B357">
        <v>5000</v>
      </c>
      <c r="C357" t="s">
        <v>171</v>
      </c>
      <c r="D357" t="s">
        <v>20</v>
      </c>
      <c r="E357" t="s">
        <v>38</v>
      </c>
      <c r="F357" t="s">
        <v>227</v>
      </c>
      <c r="G357" t="s">
        <v>26</v>
      </c>
      <c r="H357">
        <v>0</v>
      </c>
      <c r="I357">
        <v>5000</v>
      </c>
      <c r="M357" t="s">
        <v>191</v>
      </c>
      <c r="N357" t="s">
        <v>335</v>
      </c>
    </row>
    <row r="359" spans="1:14">
      <c r="A359" s="1" t="s">
        <v>0</v>
      </c>
      <c r="B359" s="1" t="s">
        <v>325</v>
      </c>
    </row>
    <row r="360" spans="1:14">
      <c r="A360" t="s">
        <v>13</v>
      </c>
      <c r="B360" t="s">
        <v>328</v>
      </c>
    </row>
    <row r="361" spans="1:14">
      <c r="A361" t="s">
        <v>1</v>
      </c>
      <c r="B361" t="s">
        <v>194</v>
      </c>
    </row>
    <row r="362" spans="1:14">
      <c r="A362" t="s">
        <v>2</v>
      </c>
      <c r="B362">
        <v>1</v>
      </c>
    </row>
    <row r="363" spans="1:14">
      <c r="A363" t="s">
        <v>3</v>
      </c>
      <c r="B363" t="s">
        <v>325</v>
      </c>
    </row>
    <row r="364" spans="1:14">
      <c r="A364" t="s">
        <v>5</v>
      </c>
      <c r="B364" t="s">
        <v>6</v>
      </c>
    </row>
    <row r="365" spans="1:14">
      <c r="A365" t="s">
        <v>7</v>
      </c>
      <c r="B365" t="s">
        <v>38</v>
      </c>
    </row>
    <row r="366" spans="1:14">
      <c r="A366" s="1" t="s">
        <v>14</v>
      </c>
    </row>
    <row r="367" spans="1:14">
      <c r="A367" t="s">
        <v>15</v>
      </c>
      <c r="B367" t="s">
        <v>16</v>
      </c>
      <c r="C367" t="s">
        <v>17</v>
      </c>
      <c r="D367" t="s">
        <v>1</v>
      </c>
      <c r="E367" t="s">
        <v>7</v>
      </c>
      <c r="F367" t="s">
        <v>18</v>
      </c>
      <c r="G367" t="s">
        <v>5</v>
      </c>
      <c r="H367" t="s">
        <v>203</v>
      </c>
      <c r="I367" t="s">
        <v>204</v>
      </c>
      <c r="J367" t="s">
        <v>205</v>
      </c>
      <c r="K367" t="s">
        <v>206</v>
      </c>
      <c r="L367" t="s">
        <v>13</v>
      </c>
      <c r="M367" t="s">
        <v>207</v>
      </c>
      <c r="N367" t="s">
        <v>3</v>
      </c>
    </row>
    <row r="368" spans="1:14">
      <c r="A368" t="s">
        <v>325</v>
      </c>
      <c r="B368">
        <v>1</v>
      </c>
      <c r="C368" t="s">
        <v>1413</v>
      </c>
      <c r="D368" t="s">
        <v>194</v>
      </c>
      <c r="E368" t="s">
        <v>38</v>
      </c>
      <c r="F368" t="s">
        <v>224</v>
      </c>
      <c r="G368" t="s">
        <v>24</v>
      </c>
      <c r="K368">
        <v>100</v>
      </c>
      <c r="L368" t="s">
        <v>377</v>
      </c>
      <c r="N368" t="s">
        <v>325</v>
      </c>
    </row>
    <row r="369" spans="1:15">
      <c r="A369" t="s">
        <v>378</v>
      </c>
      <c r="B369">
        <v>0.13</v>
      </c>
      <c r="C369" t="s">
        <v>1413</v>
      </c>
      <c r="D369" t="s">
        <v>194</v>
      </c>
      <c r="E369" t="s">
        <v>38</v>
      </c>
      <c r="F369" t="s">
        <v>227</v>
      </c>
      <c r="G369" t="s">
        <v>26</v>
      </c>
      <c r="H369">
        <v>2</v>
      </c>
      <c r="I369">
        <v>-2.0402208285265551</v>
      </c>
      <c r="J369">
        <v>2.439508208471609E-2</v>
      </c>
      <c r="L369" t="s">
        <v>379</v>
      </c>
      <c r="M369">
        <v>0</v>
      </c>
      <c r="N369" t="s">
        <v>378</v>
      </c>
    </row>
    <row r="370" spans="1:15">
      <c r="A370" t="s">
        <v>230</v>
      </c>
      <c r="B370">
        <v>0.87</v>
      </c>
      <c r="C370" t="s">
        <v>1413</v>
      </c>
      <c r="D370" t="s">
        <v>194</v>
      </c>
      <c r="E370" t="s">
        <v>38</v>
      </c>
      <c r="F370" t="s">
        <v>227</v>
      </c>
      <c r="G370" t="s">
        <v>26</v>
      </c>
      <c r="H370">
        <v>2</v>
      </c>
      <c r="I370">
        <v>-0.13926206733350771</v>
      </c>
      <c r="J370">
        <v>4.9751654265839653E-3</v>
      </c>
      <c r="L370" t="s">
        <v>379</v>
      </c>
      <c r="M370">
        <v>0</v>
      </c>
      <c r="N370" t="s">
        <v>230</v>
      </c>
    </row>
    <row r="372" spans="1:15">
      <c r="A372" s="1" t="s">
        <v>0</v>
      </c>
      <c r="B372" s="1" t="s">
        <v>325</v>
      </c>
    </row>
    <row r="373" spans="1:15">
      <c r="A373" t="s">
        <v>13</v>
      </c>
      <c r="B373" t="s">
        <v>328</v>
      </c>
    </row>
    <row r="374" spans="1:15">
      <c r="A374" t="s">
        <v>1</v>
      </c>
      <c r="B374" t="s">
        <v>20</v>
      </c>
    </row>
    <row r="375" spans="1:15">
      <c r="A375" t="s">
        <v>2</v>
      </c>
      <c r="B375">
        <v>1</v>
      </c>
    </row>
    <row r="376" spans="1:15">
      <c r="A376" t="s">
        <v>3</v>
      </c>
      <c r="B376" t="s">
        <v>325</v>
      </c>
    </row>
    <row r="377" spans="1:15">
      <c r="A377" t="s">
        <v>5</v>
      </c>
      <c r="B377" t="s">
        <v>6</v>
      </c>
    </row>
    <row r="378" spans="1:15">
      <c r="A378" t="s">
        <v>7</v>
      </c>
      <c r="B378" t="s">
        <v>38</v>
      </c>
    </row>
    <row r="379" spans="1:15">
      <c r="A379" s="1" t="s">
        <v>14</v>
      </c>
    </row>
    <row r="380" spans="1:15">
      <c r="A380" t="s">
        <v>15</v>
      </c>
      <c r="B380" t="s">
        <v>16</v>
      </c>
      <c r="C380" t="s">
        <v>17</v>
      </c>
      <c r="D380" t="s">
        <v>1</v>
      </c>
      <c r="E380" t="s">
        <v>7</v>
      </c>
      <c r="F380" t="s">
        <v>18</v>
      </c>
      <c r="G380" t="s">
        <v>5</v>
      </c>
      <c r="H380" t="s">
        <v>203</v>
      </c>
      <c r="I380" t="s">
        <v>204</v>
      </c>
      <c r="J380" t="s">
        <v>205</v>
      </c>
      <c r="K380" t="s">
        <v>206</v>
      </c>
      <c r="L380" t="s">
        <v>13</v>
      </c>
      <c r="M380" t="s">
        <v>207</v>
      </c>
      <c r="N380" t="s">
        <v>208</v>
      </c>
      <c r="O380" t="s">
        <v>3</v>
      </c>
    </row>
    <row r="381" spans="1:15">
      <c r="A381" t="s">
        <v>325</v>
      </c>
      <c r="B381">
        <v>1</v>
      </c>
      <c r="C381" t="s">
        <v>1413</v>
      </c>
      <c r="D381" t="s">
        <v>20</v>
      </c>
      <c r="E381" t="s">
        <v>38</v>
      </c>
      <c r="F381" t="s">
        <v>224</v>
      </c>
      <c r="G381" t="s">
        <v>24</v>
      </c>
      <c r="K381">
        <v>100</v>
      </c>
      <c r="L381" t="s">
        <v>377</v>
      </c>
      <c r="O381" t="s">
        <v>325</v>
      </c>
    </row>
    <row r="382" spans="1:15">
      <c r="A382" t="s">
        <v>378</v>
      </c>
      <c r="B382">
        <v>0.13</v>
      </c>
      <c r="C382" t="s">
        <v>1413</v>
      </c>
      <c r="D382" t="s">
        <v>20</v>
      </c>
      <c r="E382" t="s">
        <v>38</v>
      </c>
      <c r="F382" t="s">
        <v>227</v>
      </c>
      <c r="G382" t="s">
        <v>26</v>
      </c>
      <c r="H382">
        <v>2</v>
      </c>
      <c r="I382">
        <v>-2.0402208285265551</v>
      </c>
      <c r="J382">
        <v>2.439508208471609E-2</v>
      </c>
      <c r="L382" t="s">
        <v>379</v>
      </c>
      <c r="M382">
        <v>0</v>
      </c>
      <c r="O382" t="s">
        <v>378</v>
      </c>
    </row>
    <row r="383" spans="1:15">
      <c r="A383" t="s">
        <v>230</v>
      </c>
      <c r="B383">
        <v>0.87</v>
      </c>
      <c r="C383" t="s">
        <v>1413</v>
      </c>
      <c r="D383" t="s">
        <v>20</v>
      </c>
      <c r="E383" t="s">
        <v>38</v>
      </c>
      <c r="F383" t="s">
        <v>227</v>
      </c>
      <c r="G383" t="s">
        <v>26</v>
      </c>
      <c r="H383">
        <v>2</v>
      </c>
      <c r="I383">
        <v>-0.13926206733350771</v>
      </c>
      <c r="J383">
        <v>4.9751654265839653E-3</v>
      </c>
      <c r="L383" t="s">
        <v>379</v>
      </c>
      <c r="M383">
        <v>0</v>
      </c>
      <c r="N383" t="s">
        <v>230</v>
      </c>
      <c r="O383" t="s">
        <v>230</v>
      </c>
    </row>
    <row r="385" spans="1:14">
      <c r="A385" s="1" t="s">
        <v>0</v>
      </c>
      <c r="B385" s="1" t="s">
        <v>380</v>
      </c>
    </row>
    <row r="386" spans="1:14">
      <c r="A386" t="s">
        <v>13</v>
      </c>
      <c r="B386" t="s">
        <v>328</v>
      </c>
    </row>
    <row r="387" spans="1:14">
      <c r="A387" t="s">
        <v>1</v>
      </c>
      <c r="B387" t="s">
        <v>20</v>
      </c>
    </row>
    <row r="388" spans="1:14">
      <c r="A388" t="s">
        <v>2</v>
      </c>
      <c r="B388">
        <v>1</v>
      </c>
    </row>
    <row r="389" spans="1:14">
      <c r="A389" t="s">
        <v>3</v>
      </c>
      <c r="B389" t="s">
        <v>380</v>
      </c>
    </row>
    <row r="390" spans="1:14">
      <c r="A390" t="s">
        <v>5</v>
      </c>
      <c r="B390" t="s">
        <v>6</v>
      </c>
    </row>
    <row r="391" spans="1:14">
      <c r="A391" t="s">
        <v>7</v>
      </c>
      <c r="B391" t="s">
        <v>7</v>
      </c>
    </row>
    <row r="392" spans="1:14">
      <c r="A392" s="1" t="s">
        <v>14</v>
      </c>
    </row>
    <row r="393" spans="1:14">
      <c r="A393" t="s">
        <v>15</v>
      </c>
      <c r="B393" t="s">
        <v>16</v>
      </c>
      <c r="C393" t="s">
        <v>17</v>
      </c>
      <c r="D393" t="s">
        <v>1</v>
      </c>
      <c r="E393" t="s">
        <v>7</v>
      </c>
      <c r="F393" t="s">
        <v>18</v>
      </c>
      <c r="G393" t="s">
        <v>5</v>
      </c>
      <c r="H393" t="s">
        <v>203</v>
      </c>
      <c r="I393" t="s">
        <v>204</v>
      </c>
      <c r="J393" t="s">
        <v>206</v>
      </c>
      <c r="K393" t="s">
        <v>13</v>
      </c>
      <c r="L393" t="s">
        <v>208</v>
      </c>
      <c r="M393" t="s">
        <v>3</v>
      </c>
      <c r="N393" t="s">
        <v>209</v>
      </c>
    </row>
    <row r="394" spans="1:14">
      <c r="A394" t="s">
        <v>380</v>
      </c>
      <c r="B394">
        <v>1</v>
      </c>
      <c r="C394" t="s">
        <v>1413</v>
      </c>
      <c r="D394" t="s">
        <v>20</v>
      </c>
      <c r="E394" t="s">
        <v>7</v>
      </c>
      <c r="F394" t="s">
        <v>224</v>
      </c>
      <c r="G394" t="s">
        <v>24</v>
      </c>
      <c r="J394">
        <v>100</v>
      </c>
      <c r="M394" t="s">
        <v>380</v>
      </c>
    </row>
    <row r="395" spans="1:14">
      <c r="A395" t="s">
        <v>67</v>
      </c>
      <c r="B395">
        <v>131000</v>
      </c>
      <c r="C395" t="s">
        <v>171</v>
      </c>
      <c r="D395" t="s">
        <v>34</v>
      </c>
      <c r="E395" t="s">
        <v>38</v>
      </c>
      <c r="F395" t="s">
        <v>227</v>
      </c>
      <c r="G395" t="s">
        <v>26</v>
      </c>
      <c r="H395">
        <v>0</v>
      </c>
      <c r="I395">
        <v>131000</v>
      </c>
      <c r="L395" t="s">
        <v>68</v>
      </c>
      <c r="M395" t="s">
        <v>68</v>
      </c>
      <c r="N395" t="s">
        <v>330</v>
      </c>
    </row>
    <row r="396" spans="1:14">
      <c r="A396" t="s">
        <v>342</v>
      </c>
      <c r="B396">
        <v>355000</v>
      </c>
      <c r="C396" t="s">
        <v>171</v>
      </c>
      <c r="D396" t="s">
        <v>34</v>
      </c>
      <c r="E396" t="s">
        <v>38</v>
      </c>
      <c r="F396" t="s">
        <v>227</v>
      </c>
      <c r="G396" t="s">
        <v>26</v>
      </c>
      <c r="H396">
        <v>0</v>
      </c>
      <c r="I396">
        <v>355000</v>
      </c>
      <c r="L396" t="s">
        <v>343</v>
      </c>
      <c r="M396" t="s">
        <v>343</v>
      </c>
      <c r="N396" t="s">
        <v>344</v>
      </c>
    </row>
    <row r="397" spans="1:14">
      <c r="A397" t="s">
        <v>139</v>
      </c>
      <c r="B397">
        <v>168000</v>
      </c>
      <c r="C397" t="s">
        <v>171</v>
      </c>
      <c r="D397" t="s">
        <v>34</v>
      </c>
      <c r="E397" t="s">
        <v>38</v>
      </c>
      <c r="F397" t="s">
        <v>227</v>
      </c>
      <c r="G397" t="s">
        <v>26</v>
      </c>
      <c r="H397">
        <v>0</v>
      </c>
      <c r="I397">
        <v>168000</v>
      </c>
      <c r="L397" t="s">
        <v>140</v>
      </c>
      <c r="M397" t="s">
        <v>140</v>
      </c>
      <c r="N397" t="s">
        <v>345</v>
      </c>
    </row>
    <row r="398" spans="1:14">
      <c r="A398" t="s">
        <v>39</v>
      </c>
      <c r="B398">
        <v>187000</v>
      </c>
      <c r="C398" t="s">
        <v>171</v>
      </c>
      <c r="D398" t="s">
        <v>34</v>
      </c>
      <c r="E398" t="s">
        <v>38</v>
      </c>
      <c r="F398" t="s">
        <v>227</v>
      </c>
      <c r="G398" t="s">
        <v>26</v>
      </c>
      <c r="H398">
        <v>0</v>
      </c>
      <c r="I398">
        <v>187000</v>
      </c>
      <c r="L398" t="s">
        <v>40</v>
      </c>
      <c r="M398" t="s">
        <v>40</v>
      </c>
      <c r="N398" t="s">
        <v>299</v>
      </c>
    </row>
    <row r="399" spans="1:14">
      <c r="A399" t="s">
        <v>1253</v>
      </c>
      <c r="B399">
        <v>160000</v>
      </c>
      <c r="C399" t="s">
        <v>171</v>
      </c>
      <c r="D399" t="s">
        <v>169</v>
      </c>
      <c r="E399" t="s">
        <v>35</v>
      </c>
      <c r="F399" t="s">
        <v>227</v>
      </c>
      <c r="G399" t="s">
        <v>26</v>
      </c>
      <c r="H399">
        <v>0</v>
      </c>
      <c r="I399">
        <v>160000</v>
      </c>
      <c r="L399" t="s">
        <v>1254</v>
      </c>
      <c r="M399" t="s">
        <v>1254</v>
      </c>
      <c r="N399" t="s">
        <v>332</v>
      </c>
    </row>
    <row r="400" spans="1:14">
      <c r="A400" t="s">
        <v>300</v>
      </c>
      <c r="B400">
        <v>79800</v>
      </c>
      <c r="C400" t="s">
        <v>171</v>
      </c>
      <c r="D400" t="s">
        <v>20</v>
      </c>
      <c r="E400" t="s">
        <v>35</v>
      </c>
      <c r="F400" t="s">
        <v>227</v>
      </c>
      <c r="G400" t="s">
        <v>26</v>
      </c>
      <c r="H400">
        <v>0</v>
      </c>
      <c r="I400">
        <v>79800</v>
      </c>
      <c r="L400" t="s">
        <v>302</v>
      </c>
      <c r="M400" t="s">
        <v>1260</v>
      </c>
      <c r="N400" t="s">
        <v>303</v>
      </c>
    </row>
    <row r="401" spans="1:14">
      <c r="A401" t="s">
        <v>191</v>
      </c>
      <c r="B401">
        <v>239000</v>
      </c>
      <c r="C401" t="s">
        <v>171</v>
      </c>
      <c r="D401" t="s">
        <v>20</v>
      </c>
      <c r="E401" t="s">
        <v>38</v>
      </c>
      <c r="F401" t="s">
        <v>227</v>
      </c>
      <c r="G401" t="s">
        <v>26</v>
      </c>
      <c r="H401">
        <v>0</v>
      </c>
      <c r="I401">
        <v>239000</v>
      </c>
      <c r="M401" t="s">
        <v>191</v>
      </c>
      <c r="N401" t="s">
        <v>335</v>
      </c>
    </row>
    <row r="402" spans="1:14">
      <c r="A402" t="s">
        <v>350</v>
      </c>
      <c r="B402">
        <v>239000</v>
      </c>
      <c r="C402" t="s">
        <v>171</v>
      </c>
      <c r="D402" t="s">
        <v>351</v>
      </c>
      <c r="E402" t="s">
        <v>38</v>
      </c>
      <c r="F402" t="s">
        <v>227</v>
      </c>
      <c r="G402" t="s">
        <v>26</v>
      </c>
      <c r="H402">
        <v>0</v>
      </c>
      <c r="I402">
        <v>239000</v>
      </c>
      <c r="L402" t="s">
        <v>40</v>
      </c>
      <c r="M402" t="s">
        <v>40</v>
      </c>
      <c r="N402" t="s">
        <v>352</v>
      </c>
    </row>
    <row r="403" spans="1:14">
      <c r="A403" t="s">
        <v>193</v>
      </c>
      <c r="B403">
        <v>131000</v>
      </c>
      <c r="C403" t="s">
        <v>171</v>
      </c>
      <c r="D403" t="s">
        <v>20</v>
      </c>
      <c r="E403" t="s">
        <v>38</v>
      </c>
      <c r="F403" t="s">
        <v>227</v>
      </c>
      <c r="G403" t="s">
        <v>26</v>
      </c>
      <c r="H403">
        <v>0</v>
      </c>
      <c r="I403">
        <v>131000</v>
      </c>
      <c r="M403" t="s">
        <v>193</v>
      </c>
      <c r="N403" t="s">
        <v>336</v>
      </c>
    </row>
    <row r="405" spans="1:14">
      <c r="A405" s="1" t="s">
        <v>0</v>
      </c>
      <c r="B405" s="1" t="s">
        <v>381</v>
      </c>
    </row>
    <row r="406" spans="1:14">
      <c r="A406" t="s">
        <v>13</v>
      </c>
      <c r="B406" t="s">
        <v>328</v>
      </c>
    </row>
    <row r="407" spans="1:14">
      <c r="A407" t="s">
        <v>1</v>
      </c>
      <c r="B407" t="s">
        <v>20</v>
      </c>
    </row>
    <row r="408" spans="1:14">
      <c r="A408" t="s">
        <v>2</v>
      </c>
      <c r="B408">
        <v>1</v>
      </c>
    </row>
    <row r="409" spans="1:14">
      <c r="A409" t="s">
        <v>3</v>
      </c>
      <c r="B409" t="s">
        <v>381</v>
      </c>
    </row>
    <row r="410" spans="1:14">
      <c r="A410" t="s">
        <v>5</v>
      </c>
      <c r="B410" t="s">
        <v>6</v>
      </c>
    </row>
    <row r="411" spans="1:14">
      <c r="A411" t="s">
        <v>7</v>
      </c>
      <c r="B411" t="s">
        <v>114</v>
      </c>
    </row>
    <row r="412" spans="1:14">
      <c r="A412" s="1" t="s">
        <v>14</v>
      </c>
    </row>
    <row r="413" spans="1:14">
      <c r="A413" t="s">
        <v>15</v>
      </c>
      <c r="B413" t="s">
        <v>16</v>
      </c>
      <c r="C413" t="s">
        <v>17</v>
      </c>
      <c r="D413" t="s">
        <v>1</v>
      </c>
      <c r="E413" t="s">
        <v>7</v>
      </c>
      <c r="F413" t="s">
        <v>18</v>
      </c>
      <c r="G413" t="s">
        <v>5</v>
      </c>
      <c r="H413" t="s">
        <v>203</v>
      </c>
      <c r="I413" t="s">
        <v>204</v>
      </c>
      <c r="J413" t="s">
        <v>206</v>
      </c>
      <c r="K413" t="s">
        <v>13</v>
      </c>
      <c r="L413" t="s">
        <v>208</v>
      </c>
      <c r="M413" t="s">
        <v>3</v>
      </c>
      <c r="N413" t="s">
        <v>209</v>
      </c>
    </row>
    <row r="414" spans="1:14">
      <c r="A414" t="s">
        <v>381</v>
      </c>
      <c r="B414">
        <v>1</v>
      </c>
      <c r="C414" t="s">
        <v>1413</v>
      </c>
      <c r="D414" t="s">
        <v>20</v>
      </c>
      <c r="E414" t="s">
        <v>114</v>
      </c>
      <c r="F414" t="s">
        <v>224</v>
      </c>
      <c r="G414" t="s">
        <v>24</v>
      </c>
      <c r="J414">
        <v>100</v>
      </c>
      <c r="M414" t="s">
        <v>381</v>
      </c>
    </row>
    <row r="415" spans="1:14">
      <c r="A415" t="s">
        <v>39</v>
      </c>
      <c r="B415">
        <v>17.3</v>
      </c>
      <c r="C415" t="s">
        <v>171</v>
      </c>
      <c r="D415" t="s">
        <v>34</v>
      </c>
      <c r="E415" t="s">
        <v>38</v>
      </c>
      <c r="F415" t="s">
        <v>227</v>
      </c>
      <c r="G415" t="s">
        <v>26</v>
      </c>
      <c r="H415">
        <v>0</v>
      </c>
      <c r="I415">
        <v>17.3</v>
      </c>
      <c r="L415" t="s">
        <v>40</v>
      </c>
      <c r="M415" t="s">
        <v>40</v>
      </c>
      <c r="N415" t="s">
        <v>299</v>
      </c>
    </row>
    <row r="416" spans="1:14">
      <c r="A416" t="s">
        <v>1253</v>
      </c>
      <c r="B416">
        <v>3.45</v>
      </c>
      <c r="C416" t="s">
        <v>171</v>
      </c>
      <c r="D416" t="s">
        <v>169</v>
      </c>
      <c r="E416" t="s">
        <v>35</v>
      </c>
      <c r="F416" t="s">
        <v>227</v>
      </c>
      <c r="G416" t="s">
        <v>26</v>
      </c>
      <c r="H416">
        <v>0</v>
      </c>
      <c r="I416">
        <v>3.45</v>
      </c>
      <c r="L416" t="s">
        <v>1254</v>
      </c>
      <c r="M416" t="s">
        <v>1254</v>
      </c>
      <c r="N416" t="s">
        <v>332</v>
      </c>
    </row>
    <row r="417" spans="1:14">
      <c r="A417" t="s">
        <v>300</v>
      </c>
      <c r="B417">
        <v>0.86299999999999999</v>
      </c>
      <c r="C417" t="s">
        <v>171</v>
      </c>
      <c r="D417" t="s">
        <v>20</v>
      </c>
      <c r="E417" t="s">
        <v>35</v>
      </c>
      <c r="F417" t="s">
        <v>227</v>
      </c>
      <c r="G417" t="s">
        <v>26</v>
      </c>
      <c r="H417">
        <v>0</v>
      </c>
      <c r="I417">
        <v>0.86299999999999999</v>
      </c>
      <c r="L417" t="s">
        <v>302</v>
      </c>
      <c r="M417" t="s">
        <v>1260</v>
      </c>
      <c r="N417" t="s">
        <v>303</v>
      </c>
    </row>
    <row r="418" spans="1:14">
      <c r="A418" t="s">
        <v>191</v>
      </c>
      <c r="B418">
        <v>17.3</v>
      </c>
      <c r="C418" t="s">
        <v>171</v>
      </c>
      <c r="D418" t="s">
        <v>20</v>
      </c>
      <c r="E418" t="s">
        <v>38</v>
      </c>
      <c r="F418" t="s">
        <v>227</v>
      </c>
      <c r="G418" t="s">
        <v>26</v>
      </c>
      <c r="H418">
        <v>0</v>
      </c>
      <c r="I418">
        <v>17.3</v>
      </c>
      <c r="M418" t="s">
        <v>191</v>
      </c>
      <c r="N418" t="s">
        <v>335</v>
      </c>
    </row>
    <row r="420" spans="1:14">
      <c r="A420" s="1" t="s">
        <v>0</v>
      </c>
      <c r="B420" s="1" t="s">
        <v>382</v>
      </c>
    </row>
    <row r="421" spans="1:14">
      <c r="A421" t="s">
        <v>13</v>
      </c>
      <c r="B421" t="s">
        <v>328</v>
      </c>
    </row>
    <row r="422" spans="1:14">
      <c r="A422" t="s">
        <v>1</v>
      </c>
      <c r="B422" t="s">
        <v>20</v>
      </c>
    </row>
    <row r="423" spans="1:14">
      <c r="A423" t="s">
        <v>2</v>
      </c>
      <c r="B423">
        <v>1</v>
      </c>
    </row>
    <row r="424" spans="1:14">
      <c r="A424" t="s">
        <v>3</v>
      </c>
      <c r="B424" t="s">
        <v>382</v>
      </c>
    </row>
    <row r="425" spans="1:14">
      <c r="A425" t="s">
        <v>5</v>
      </c>
      <c r="B425" t="s">
        <v>6</v>
      </c>
    </row>
    <row r="426" spans="1:14">
      <c r="A426" t="s">
        <v>7</v>
      </c>
      <c r="B426" t="s">
        <v>114</v>
      </c>
    </row>
    <row r="427" spans="1:14">
      <c r="A427" s="1" t="s">
        <v>14</v>
      </c>
    </row>
    <row r="428" spans="1:14">
      <c r="A428" t="s">
        <v>15</v>
      </c>
      <c r="B428" t="s">
        <v>16</v>
      </c>
      <c r="C428" t="s">
        <v>17</v>
      </c>
      <c r="D428" t="s">
        <v>1</v>
      </c>
      <c r="E428" t="s">
        <v>7</v>
      </c>
      <c r="F428" t="s">
        <v>18</v>
      </c>
      <c r="G428" t="s">
        <v>5</v>
      </c>
      <c r="H428" t="s">
        <v>203</v>
      </c>
      <c r="I428" t="s">
        <v>204</v>
      </c>
      <c r="J428" t="s">
        <v>206</v>
      </c>
      <c r="K428" t="s">
        <v>13</v>
      </c>
      <c r="L428" t="s">
        <v>208</v>
      </c>
      <c r="M428" t="s">
        <v>3</v>
      </c>
      <c r="N428" t="s">
        <v>209</v>
      </c>
    </row>
    <row r="429" spans="1:14">
      <c r="A429" t="s">
        <v>382</v>
      </c>
      <c r="B429">
        <v>1</v>
      </c>
      <c r="C429" t="s">
        <v>1413</v>
      </c>
      <c r="D429" t="s">
        <v>20</v>
      </c>
      <c r="E429" t="s">
        <v>114</v>
      </c>
      <c r="F429" t="s">
        <v>224</v>
      </c>
      <c r="G429" t="s">
        <v>24</v>
      </c>
      <c r="J429">
        <v>100</v>
      </c>
      <c r="M429" t="s">
        <v>382</v>
      </c>
    </row>
    <row r="430" spans="1:14">
      <c r="A430" t="s">
        <v>67</v>
      </c>
      <c r="B430">
        <v>0.159</v>
      </c>
      <c r="C430" t="s">
        <v>171</v>
      </c>
      <c r="D430" t="s">
        <v>34</v>
      </c>
      <c r="E430" t="s">
        <v>38</v>
      </c>
      <c r="F430" t="s">
        <v>227</v>
      </c>
      <c r="G430" t="s">
        <v>26</v>
      </c>
      <c r="H430">
        <v>0</v>
      </c>
      <c r="I430">
        <v>0.159</v>
      </c>
      <c r="L430" t="s">
        <v>68</v>
      </c>
      <c r="M430" t="s">
        <v>68</v>
      </c>
      <c r="N430" t="s">
        <v>330</v>
      </c>
    </row>
    <row r="431" spans="1:14">
      <c r="A431" t="s">
        <v>39</v>
      </c>
      <c r="B431">
        <v>19.2</v>
      </c>
      <c r="C431" t="s">
        <v>171</v>
      </c>
      <c r="D431" t="s">
        <v>34</v>
      </c>
      <c r="E431" t="s">
        <v>38</v>
      </c>
      <c r="F431" t="s">
        <v>227</v>
      </c>
      <c r="G431" t="s">
        <v>26</v>
      </c>
      <c r="H431">
        <v>0</v>
      </c>
      <c r="I431">
        <v>19.2</v>
      </c>
      <c r="L431" t="s">
        <v>40</v>
      </c>
      <c r="M431" t="s">
        <v>40</v>
      </c>
      <c r="N431" t="s">
        <v>299</v>
      </c>
    </row>
    <row r="432" spans="1:14">
      <c r="A432" t="s">
        <v>1253</v>
      </c>
      <c r="B432">
        <v>3.87</v>
      </c>
      <c r="C432" t="s">
        <v>171</v>
      </c>
      <c r="D432" t="s">
        <v>169</v>
      </c>
      <c r="E432" t="s">
        <v>35</v>
      </c>
      <c r="F432" t="s">
        <v>227</v>
      </c>
      <c r="G432" t="s">
        <v>26</v>
      </c>
      <c r="H432">
        <v>0</v>
      </c>
      <c r="I432">
        <v>3.87</v>
      </c>
      <c r="L432" t="s">
        <v>1254</v>
      </c>
      <c r="M432" t="s">
        <v>1254</v>
      </c>
      <c r="N432" t="s">
        <v>332</v>
      </c>
    </row>
    <row r="433" spans="1:14">
      <c r="A433" t="s">
        <v>300</v>
      </c>
      <c r="B433">
        <v>1.94</v>
      </c>
      <c r="C433" t="s">
        <v>171</v>
      </c>
      <c r="D433" t="s">
        <v>20</v>
      </c>
      <c r="E433" t="s">
        <v>35</v>
      </c>
      <c r="F433" t="s">
        <v>227</v>
      </c>
      <c r="G433" t="s">
        <v>26</v>
      </c>
      <c r="H433">
        <v>0</v>
      </c>
      <c r="I433">
        <v>1.94</v>
      </c>
      <c r="L433" t="s">
        <v>302</v>
      </c>
      <c r="M433" t="s">
        <v>1260</v>
      </c>
      <c r="N433" t="s">
        <v>303</v>
      </c>
    </row>
    <row r="434" spans="1:14">
      <c r="A434" t="s">
        <v>191</v>
      </c>
      <c r="B434">
        <v>19.2</v>
      </c>
      <c r="C434" t="s">
        <v>171</v>
      </c>
      <c r="D434" t="s">
        <v>20</v>
      </c>
      <c r="E434" t="s">
        <v>38</v>
      </c>
      <c r="F434" t="s">
        <v>227</v>
      </c>
      <c r="G434" t="s">
        <v>26</v>
      </c>
      <c r="H434">
        <v>0</v>
      </c>
      <c r="I434">
        <v>19.2</v>
      </c>
      <c r="M434" t="s">
        <v>191</v>
      </c>
      <c r="N434" t="s">
        <v>335</v>
      </c>
    </row>
    <row r="435" spans="1:14">
      <c r="A435" t="s">
        <v>193</v>
      </c>
      <c r="B435">
        <v>0.159</v>
      </c>
      <c r="C435" t="s">
        <v>171</v>
      </c>
      <c r="D435" t="s">
        <v>20</v>
      </c>
      <c r="E435" t="s">
        <v>38</v>
      </c>
      <c r="F435" t="s">
        <v>227</v>
      </c>
      <c r="G435" t="s">
        <v>26</v>
      </c>
      <c r="H435">
        <v>0</v>
      </c>
      <c r="I435">
        <v>0.159</v>
      </c>
      <c r="M435" t="s">
        <v>193</v>
      </c>
      <c r="N435" t="s">
        <v>336</v>
      </c>
    </row>
    <row r="437" spans="1:14">
      <c r="A437" s="1" t="s">
        <v>0</v>
      </c>
      <c r="B437" s="1" t="s">
        <v>383</v>
      </c>
    </row>
    <row r="438" spans="1:14">
      <c r="A438" t="s">
        <v>13</v>
      </c>
      <c r="B438" t="s">
        <v>328</v>
      </c>
    </row>
    <row r="439" spans="1:14">
      <c r="A439" t="s">
        <v>1</v>
      </c>
      <c r="B439" t="s">
        <v>20</v>
      </c>
    </row>
    <row r="440" spans="1:14">
      <c r="A440" t="s">
        <v>2</v>
      </c>
      <c r="B440">
        <v>1</v>
      </c>
    </row>
    <row r="441" spans="1:14">
      <c r="A441" t="s">
        <v>3</v>
      </c>
      <c r="B441" t="s">
        <v>383</v>
      </c>
    </row>
    <row r="442" spans="1:14">
      <c r="A442" t="s">
        <v>5</v>
      </c>
      <c r="B442" t="s">
        <v>6</v>
      </c>
    </row>
    <row r="443" spans="1:14">
      <c r="A443" t="s">
        <v>7</v>
      </c>
      <c r="B443" t="s">
        <v>7</v>
      </c>
    </row>
    <row r="444" spans="1:14">
      <c r="A444" s="1" t="s">
        <v>14</v>
      </c>
    </row>
    <row r="445" spans="1:14">
      <c r="A445" t="s">
        <v>15</v>
      </c>
      <c r="B445" t="s">
        <v>16</v>
      </c>
      <c r="C445" t="s">
        <v>17</v>
      </c>
      <c r="D445" t="s">
        <v>1</v>
      </c>
      <c r="E445" t="s">
        <v>7</v>
      </c>
      <c r="F445" t="s">
        <v>18</v>
      </c>
      <c r="G445" t="s">
        <v>5</v>
      </c>
      <c r="H445" t="s">
        <v>203</v>
      </c>
      <c r="I445" t="s">
        <v>204</v>
      </c>
      <c r="J445" t="s">
        <v>206</v>
      </c>
      <c r="K445" t="s">
        <v>13</v>
      </c>
      <c r="L445" t="s">
        <v>208</v>
      </c>
      <c r="M445" t="s">
        <v>3</v>
      </c>
      <c r="N445" t="s">
        <v>209</v>
      </c>
    </row>
    <row r="446" spans="1:14">
      <c r="A446" t="s">
        <v>383</v>
      </c>
      <c r="B446">
        <v>1</v>
      </c>
      <c r="C446" t="s">
        <v>1413</v>
      </c>
      <c r="D446" t="s">
        <v>20</v>
      </c>
      <c r="E446" t="s">
        <v>7</v>
      </c>
      <c r="F446" t="s">
        <v>224</v>
      </c>
      <c r="G446" t="s">
        <v>24</v>
      </c>
      <c r="J446">
        <v>100</v>
      </c>
      <c r="M446" t="s">
        <v>383</v>
      </c>
    </row>
    <row r="447" spans="1:14">
      <c r="A447" t="s">
        <v>67</v>
      </c>
      <c r="B447">
        <v>0.79300000000000004</v>
      </c>
      <c r="C447" t="s">
        <v>171</v>
      </c>
      <c r="D447" t="s">
        <v>34</v>
      </c>
      <c r="E447" t="s">
        <v>38</v>
      </c>
      <c r="F447" t="s">
        <v>227</v>
      </c>
      <c r="G447" t="s">
        <v>26</v>
      </c>
      <c r="H447">
        <v>0</v>
      </c>
      <c r="I447">
        <v>0.79300000000000004</v>
      </c>
      <c r="L447" t="s">
        <v>68</v>
      </c>
      <c r="M447" t="s">
        <v>68</v>
      </c>
      <c r="N447" t="s">
        <v>330</v>
      </c>
    </row>
    <row r="448" spans="1:14">
      <c r="A448" t="s">
        <v>39</v>
      </c>
      <c r="B448">
        <v>22.8</v>
      </c>
      <c r="C448" t="s">
        <v>171</v>
      </c>
      <c r="D448" t="s">
        <v>34</v>
      </c>
      <c r="E448" t="s">
        <v>38</v>
      </c>
      <c r="F448" t="s">
        <v>227</v>
      </c>
      <c r="G448" t="s">
        <v>26</v>
      </c>
      <c r="H448">
        <v>0</v>
      </c>
      <c r="I448">
        <v>22.8</v>
      </c>
      <c r="L448" t="s">
        <v>40</v>
      </c>
      <c r="M448" t="s">
        <v>40</v>
      </c>
      <c r="N448" t="s">
        <v>299</v>
      </c>
    </row>
    <row r="449" spans="1:14">
      <c r="A449" t="s">
        <v>1253</v>
      </c>
      <c r="B449">
        <v>4.71</v>
      </c>
      <c r="C449" t="s">
        <v>171</v>
      </c>
      <c r="D449" t="s">
        <v>169</v>
      </c>
      <c r="E449" t="s">
        <v>35</v>
      </c>
      <c r="F449" t="s">
        <v>227</v>
      </c>
      <c r="G449" t="s">
        <v>26</v>
      </c>
      <c r="H449">
        <v>0</v>
      </c>
      <c r="I449">
        <v>4.71</v>
      </c>
      <c r="L449" t="s">
        <v>1254</v>
      </c>
      <c r="M449" t="s">
        <v>1254</v>
      </c>
      <c r="N449" t="s">
        <v>332</v>
      </c>
    </row>
    <row r="450" spans="1:14">
      <c r="A450" t="s">
        <v>300</v>
      </c>
      <c r="B450">
        <v>2.35</v>
      </c>
      <c r="C450" t="s">
        <v>171</v>
      </c>
      <c r="D450" t="s">
        <v>20</v>
      </c>
      <c r="E450" t="s">
        <v>35</v>
      </c>
      <c r="F450" t="s">
        <v>227</v>
      </c>
      <c r="G450" t="s">
        <v>26</v>
      </c>
      <c r="H450">
        <v>0</v>
      </c>
      <c r="I450">
        <v>2.35</v>
      </c>
      <c r="L450" t="s">
        <v>302</v>
      </c>
      <c r="M450" t="s">
        <v>1260</v>
      </c>
      <c r="N450" t="s">
        <v>303</v>
      </c>
    </row>
    <row r="451" spans="1:14">
      <c r="A451" t="s">
        <v>191</v>
      </c>
      <c r="B451">
        <v>22.8</v>
      </c>
      <c r="C451" t="s">
        <v>171</v>
      </c>
      <c r="D451" t="s">
        <v>20</v>
      </c>
      <c r="E451" t="s">
        <v>38</v>
      </c>
      <c r="F451" t="s">
        <v>227</v>
      </c>
      <c r="G451" t="s">
        <v>26</v>
      </c>
      <c r="H451">
        <v>0</v>
      </c>
      <c r="I451">
        <v>22.8</v>
      </c>
      <c r="M451" t="s">
        <v>191</v>
      </c>
      <c r="N451" t="s">
        <v>335</v>
      </c>
    </row>
    <row r="452" spans="1:14">
      <c r="A452" t="s">
        <v>193</v>
      </c>
      <c r="B452">
        <v>0.79300000000000004</v>
      </c>
      <c r="C452" t="s">
        <v>171</v>
      </c>
      <c r="D452" t="s">
        <v>20</v>
      </c>
      <c r="E452" t="s">
        <v>38</v>
      </c>
      <c r="F452" t="s">
        <v>227</v>
      </c>
      <c r="G452" t="s">
        <v>26</v>
      </c>
      <c r="H452">
        <v>0</v>
      </c>
      <c r="I452">
        <v>0.79300000000000004</v>
      </c>
      <c r="M452" t="s">
        <v>193</v>
      </c>
      <c r="N452" t="s">
        <v>336</v>
      </c>
    </row>
    <row r="454" spans="1:14">
      <c r="A454" s="1" t="s">
        <v>0</v>
      </c>
      <c r="B454" s="1" t="s">
        <v>384</v>
      </c>
    </row>
    <row r="455" spans="1:14">
      <c r="A455" t="s">
        <v>13</v>
      </c>
      <c r="B455" t="s">
        <v>328</v>
      </c>
    </row>
    <row r="456" spans="1:14">
      <c r="A456" t="s">
        <v>1</v>
      </c>
      <c r="B456" t="s">
        <v>20</v>
      </c>
    </row>
    <row r="457" spans="1:14">
      <c r="A457" t="s">
        <v>2</v>
      </c>
      <c r="B457">
        <v>1</v>
      </c>
    </row>
    <row r="458" spans="1:14">
      <c r="A458" t="s">
        <v>3</v>
      </c>
      <c r="B458" t="s">
        <v>384</v>
      </c>
    </row>
    <row r="459" spans="1:14">
      <c r="A459" t="s">
        <v>5</v>
      </c>
      <c r="B459" t="s">
        <v>6</v>
      </c>
    </row>
    <row r="460" spans="1:14">
      <c r="A460" t="s">
        <v>7</v>
      </c>
      <c r="B460" t="s">
        <v>7</v>
      </c>
    </row>
    <row r="461" spans="1:14">
      <c r="A461" s="1" t="s">
        <v>14</v>
      </c>
    </row>
    <row r="462" spans="1:14">
      <c r="A462" t="s">
        <v>15</v>
      </c>
      <c r="B462" t="s">
        <v>16</v>
      </c>
      <c r="C462" t="s">
        <v>17</v>
      </c>
      <c r="D462" t="s">
        <v>1</v>
      </c>
      <c r="E462" t="s">
        <v>7</v>
      </c>
      <c r="F462" t="s">
        <v>18</v>
      </c>
      <c r="G462" t="s">
        <v>5</v>
      </c>
      <c r="H462" t="s">
        <v>203</v>
      </c>
      <c r="I462" t="s">
        <v>204</v>
      </c>
      <c r="J462" t="s">
        <v>206</v>
      </c>
      <c r="K462" t="s">
        <v>13</v>
      </c>
      <c r="L462" t="s">
        <v>208</v>
      </c>
      <c r="M462" t="s">
        <v>3</v>
      </c>
      <c r="N462" t="s">
        <v>209</v>
      </c>
    </row>
    <row r="463" spans="1:14">
      <c r="A463" t="s">
        <v>384</v>
      </c>
      <c r="B463">
        <v>1</v>
      </c>
      <c r="C463" t="s">
        <v>1413</v>
      </c>
      <c r="D463" t="s">
        <v>20</v>
      </c>
      <c r="E463" t="s">
        <v>7</v>
      </c>
      <c r="F463" t="s">
        <v>224</v>
      </c>
      <c r="G463" t="s">
        <v>24</v>
      </c>
      <c r="J463">
        <v>100</v>
      </c>
      <c r="M463" t="s">
        <v>384</v>
      </c>
    </row>
    <row r="464" spans="1:14">
      <c r="A464" t="s">
        <v>67</v>
      </c>
      <c r="B464">
        <v>0.79</v>
      </c>
      <c r="C464" t="s">
        <v>171</v>
      </c>
      <c r="D464" t="s">
        <v>34</v>
      </c>
      <c r="E464" t="s">
        <v>38</v>
      </c>
      <c r="F464" t="s">
        <v>227</v>
      </c>
      <c r="G464" t="s">
        <v>26</v>
      </c>
      <c r="H464">
        <v>0</v>
      </c>
      <c r="I464">
        <v>0.79</v>
      </c>
      <c r="L464" t="s">
        <v>68</v>
      </c>
      <c r="M464" t="s">
        <v>68</v>
      </c>
      <c r="N464" t="s">
        <v>330</v>
      </c>
    </row>
    <row r="465" spans="1:14">
      <c r="A465" t="s">
        <v>39</v>
      </c>
      <c r="B465">
        <v>7.04</v>
      </c>
      <c r="C465" t="s">
        <v>171</v>
      </c>
      <c r="D465" t="s">
        <v>34</v>
      </c>
      <c r="E465" t="s">
        <v>38</v>
      </c>
      <c r="F465" t="s">
        <v>227</v>
      </c>
      <c r="G465" t="s">
        <v>26</v>
      </c>
      <c r="H465">
        <v>0</v>
      </c>
      <c r="I465">
        <v>7.04</v>
      </c>
      <c r="L465" t="s">
        <v>40</v>
      </c>
      <c r="M465" t="s">
        <v>40</v>
      </c>
      <c r="N465" t="s">
        <v>299</v>
      </c>
    </row>
    <row r="466" spans="1:14">
      <c r="A466" t="s">
        <v>1253</v>
      </c>
      <c r="B466">
        <v>1.57</v>
      </c>
      <c r="C466" t="s">
        <v>171</v>
      </c>
      <c r="D466" t="s">
        <v>169</v>
      </c>
      <c r="E466" t="s">
        <v>35</v>
      </c>
      <c r="F466" t="s">
        <v>227</v>
      </c>
      <c r="G466" t="s">
        <v>26</v>
      </c>
      <c r="H466">
        <v>0</v>
      </c>
      <c r="I466">
        <v>1.57</v>
      </c>
      <c r="L466" t="s">
        <v>1254</v>
      </c>
      <c r="M466" t="s">
        <v>1254</v>
      </c>
      <c r="N466" t="s">
        <v>332</v>
      </c>
    </row>
    <row r="467" spans="1:14">
      <c r="A467" t="s">
        <v>300</v>
      </c>
      <c r="B467">
        <v>0.78300000000000003</v>
      </c>
      <c r="C467" t="s">
        <v>171</v>
      </c>
      <c r="D467" t="s">
        <v>20</v>
      </c>
      <c r="E467" t="s">
        <v>35</v>
      </c>
      <c r="F467" t="s">
        <v>227</v>
      </c>
      <c r="G467" t="s">
        <v>26</v>
      </c>
      <c r="H467">
        <v>0</v>
      </c>
      <c r="I467">
        <v>0.78300000000000003</v>
      </c>
      <c r="L467" t="s">
        <v>302</v>
      </c>
      <c r="M467" t="s">
        <v>1260</v>
      </c>
      <c r="N467" t="s">
        <v>303</v>
      </c>
    </row>
    <row r="468" spans="1:14">
      <c r="A468" t="s">
        <v>191</v>
      </c>
      <c r="B468">
        <v>7.04</v>
      </c>
      <c r="C468" t="s">
        <v>171</v>
      </c>
      <c r="D468" t="s">
        <v>20</v>
      </c>
      <c r="E468" t="s">
        <v>38</v>
      </c>
      <c r="F468" t="s">
        <v>227</v>
      </c>
      <c r="G468" t="s">
        <v>26</v>
      </c>
      <c r="H468">
        <v>0</v>
      </c>
      <c r="I468">
        <v>7.04</v>
      </c>
      <c r="M468" t="s">
        <v>191</v>
      </c>
      <c r="N468" t="s">
        <v>335</v>
      </c>
    </row>
    <row r="469" spans="1:14">
      <c r="A469" t="s">
        <v>193</v>
      </c>
      <c r="B469">
        <v>0.79</v>
      </c>
      <c r="C469" t="s">
        <v>171</v>
      </c>
      <c r="D469" t="s">
        <v>20</v>
      </c>
      <c r="E469" t="s">
        <v>38</v>
      </c>
      <c r="F469" t="s">
        <v>227</v>
      </c>
      <c r="G469" t="s">
        <v>26</v>
      </c>
      <c r="H469">
        <v>0</v>
      </c>
      <c r="I469">
        <v>0.79</v>
      </c>
      <c r="M469" t="s">
        <v>193</v>
      </c>
      <c r="N469" t="s">
        <v>336</v>
      </c>
    </row>
    <row r="471" spans="1:14">
      <c r="A471" s="1" t="s">
        <v>0</v>
      </c>
      <c r="B471" s="1" t="s">
        <v>385</v>
      </c>
    </row>
    <row r="472" spans="1:14">
      <c r="A472" t="s">
        <v>13</v>
      </c>
      <c r="B472" t="s">
        <v>328</v>
      </c>
    </row>
    <row r="473" spans="1:14">
      <c r="A473" t="s">
        <v>1</v>
      </c>
      <c r="B473" t="s">
        <v>20</v>
      </c>
    </row>
    <row r="474" spans="1:14">
      <c r="A474" t="s">
        <v>2</v>
      </c>
      <c r="B474">
        <v>1</v>
      </c>
    </row>
    <row r="475" spans="1:14">
      <c r="A475" t="s">
        <v>3</v>
      </c>
      <c r="B475" t="s">
        <v>385</v>
      </c>
    </row>
    <row r="476" spans="1:14">
      <c r="A476" t="s">
        <v>5</v>
      </c>
      <c r="B476" t="s">
        <v>6</v>
      </c>
    </row>
    <row r="477" spans="1:14">
      <c r="A477" t="s">
        <v>7</v>
      </c>
      <c r="B477" t="s">
        <v>7</v>
      </c>
    </row>
    <row r="478" spans="1:14">
      <c r="A478" s="1" t="s">
        <v>14</v>
      </c>
    </row>
    <row r="479" spans="1:14">
      <c r="A479" t="s">
        <v>15</v>
      </c>
      <c r="B479" t="s">
        <v>16</v>
      </c>
      <c r="C479" t="s">
        <v>17</v>
      </c>
      <c r="D479" t="s">
        <v>1</v>
      </c>
      <c r="E479" t="s">
        <v>7</v>
      </c>
      <c r="F479" t="s">
        <v>18</v>
      </c>
      <c r="G479" t="s">
        <v>5</v>
      </c>
      <c r="H479" t="s">
        <v>203</v>
      </c>
      <c r="I479" t="s">
        <v>204</v>
      </c>
      <c r="J479" t="s">
        <v>206</v>
      </c>
      <c r="K479" t="s">
        <v>13</v>
      </c>
      <c r="L479" t="s">
        <v>208</v>
      </c>
      <c r="M479" t="s">
        <v>3</v>
      </c>
      <c r="N479" t="s">
        <v>209</v>
      </c>
    </row>
    <row r="480" spans="1:14">
      <c r="A480" t="s">
        <v>385</v>
      </c>
      <c r="B480">
        <v>1</v>
      </c>
      <c r="C480" t="s">
        <v>1413</v>
      </c>
      <c r="D480" t="s">
        <v>20</v>
      </c>
      <c r="E480" t="s">
        <v>7</v>
      </c>
      <c r="F480" t="s">
        <v>224</v>
      </c>
      <c r="G480" t="s">
        <v>24</v>
      </c>
      <c r="J480">
        <v>100</v>
      </c>
      <c r="M480" t="s">
        <v>385</v>
      </c>
    </row>
    <row r="481" spans="1:14">
      <c r="A481" t="s">
        <v>41</v>
      </c>
      <c r="B481">
        <v>319</v>
      </c>
      <c r="C481" t="s">
        <v>171</v>
      </c>
      <c r="D481" t="s">
        <v>42</v>
      </c>
      <c r="E481" t="s">
        <v>38</v>
      </c>
      <c r="F481" t="s">
        <v>227</v>
      </c>
      <c r="G481" t="s">
        <v>26</v>
      </c>
      <c r="H481">
        <v>0</v>
      </c>
      <c r="I481">
        <v>319</v>
      </c>
      <c r="L481" t="s">
        <v>43</v>
      </c>
      <c r="M481" t="s">
        <v>43</v>
      </c>
      <c r="N481" t="s">
        <v>386</v>
      </c>
    </row>
    <row r="482" spans="1:14">
      <c r="A482" t="s">
        <v>67</v>
      </c>
      <c r="B482">
        <v>751</v>
      </c>
      <c r="C482" t="s">
        <v>171</v>
      </c>
      <c r="D482" t="s">
        <v>34</v>
      </c>
      <c r="E482" t="s">
        <v>38</v>
      </c>
      <c r="F482" t="s">
        <v>227</v>
      </c>
      <c r="G482" t="s">
        <v>26</v>
      </c>
      <c r="H482">
        <v>0</v>
      </c>
      <c r="I482">
        <v>751</v>
      </c>
      <c r="L482" t="s">
        <v>68</v>
      </c>
      <c r="M482" t="s">
        <v>68</v>
      </c>
      <c r="N482" t="s">
        <v>330</v>
      </c>
    </row>
    <row r="483" spans="1:14">
      <c r="A483" t="s">
        <v>342</v>
      </c>
      <c r="B483">
        <v>667</v>
      </c>
      <c r="C483" t="s">
        <v>171</v>
      </c>
      <c r="D483" t="s">
        <v>34</v>
      </c>
      <c r="E483" t="s">
        <v>38</v>
      </c>
      <c r="F483" t="s">
        <v>227</v>
      </c>
      <c r="G483" t="s">
        <v>26</v>
      </c>
      <c r="H483">
        <v>0</v>
      </c>
      <c r="I483">
        <v>667</v>
      </c>
      <c r="L483" t="s">
        <v>343</v>
      </c>
      <c r="M483" t="s">
        <v>343</v>
      </c>
      <c r="N483" t="s">
        <v>344</v>
      </c>
    </row>
    <row r="484" spans="1:14">
      <c r="A484" t="s">
        <v>82</v>
      </c>
      <c r="B484">
        <v>25.3</v>
      </c>
      <c r="C484" t="s">
        <v>171</v>
      </c>
      <c r="D484" t="s">
        <v>20</v>
      </c>
      <c r="E484" t="s">
        <v>38</v>
      </c>
      <c r="F484" t="s">
        <v>227</v>
      </c>
      <c r="G484" t="s">
        <v>26</v>
      </c>
      <c r="H484">
        <v>0</v>
      </c>
      <c r="I484">
        <v>25.3</v>
      </c>
      <c r="L484" t="s">
        <v>83</v>
      </c>
      <c r="M484" t="s">
        <v>83</v>
      </c>
      <c r="N484" t="s">
        <v>387</v>
      </c>
    </row>
    <row r="485" spans="1:14">
      <c r="A485" t="s">
        <v>388</v>
      </c>
      <c r="B485">
        <v>401</v>
      </c>
      <c r="C485" t="s">
        <v>171</v>
      </c>
      <c r="D485" t="s">
        <v>34</v>
      </c>
      <c r="E485" t="s">
        <v>38</v>
      </c>
      <c r="F485" t="s">
        <v>227</v>
      </c>
      <c r="G485" t="s">
        <v>26</v>
      </c>
      <c r="H485">
        <v>0</v>
      </c>
      <c r="I485">
        <v>401</v>
      </c>
      <c r="L485" t="s">
        <v>389</v>
      </c>
      <c r="M485" t="s">
        <v>389</v>
      </c>
      <c r="N485" t="s">
        <v>390</v>
      </c>
    </row>
    <row r="486" spans="1:14">
      <c r="A486" t="s">
        <v>1302</v>
      </c>
      <c r="B486">
        <v>582</v>
      </c>
      <c r="C486" t="s">
        <v>171</v>
      </c>
      <c r="D486" t="s">
        <v>20</v>
      </c>
      <c r="E486" t="s">
        <v>38</v>
      </c>
      <c r="F486" t="s">
        <v>227</v>
      </c>
      <c r="G486" t="s">
        <v>26</v>
      </c>
      <c r="H486">
        <v>0</v>
      </c>
      <c r="I486">
        <v>582</v>
      </c>
      <c r="L486" t="s">
        <v>1303</v>
      </c>
      <c r="M486" t="s">
        <v>1303</v>
      </c>
      <c r="N486" t="s">
        <v>339</v>
      </c>
    </row>
    <row r="487" spans="1:14">
      <c r="A487" t="s">
        <v>39</v>
      </c>
      <c r="B487">
        <v>667</v>
      </c>
      <c r="C487" t="s">
        <v>171</v>
      </c>
      <c r="D487" t="s">
        <v>34</v>
      </c>
      <c r="E487" t="s">
        <v>38</v>
      </c>
      <c r="F487" t="s">
        <v>227</v>
      </c>
      <c r="G487" t="s">
        <v>26</v>
      </c>
      <c r="H487">
        <v>0</v>
      </c>
      <c r="I487">
        <v>667</v>
      </c>
      <c r="L487" t="s">
        <v>40</v>
      </c>
      <c r="M487" t="s">
        <v>40</v>
      </c>
      <c r="N487" t="s">
        <v>299</v>
      </c>
    </row>
    <row r="488" spans="1:14">
      <c r="A488" t="s">
        <v>78</v>
      </c>
      <c r="B488">
        <v>116</v>
      </c>
      <c r="C488" t="s">
        <v>171</v>
      </c>
      <c r="D488" t="s">
        <v>34</v>
      </c>
      <c r="E488" t="s">
        <v>38</v>
      </c>
      <c r="F488" t="s">
        <v>227</v>
      </c>
      <c r="G488" t="s">
        <v>26</v>
      </c>
      <c r="H488">
        <v>0</v>
      </c>
      <c r="I488">
        <v>116</v>
      </c>
      <c r="L488" t="s">
        <v>79</v>
      </c>
      <c r="M488" t="s">
        <v>79</v>
      </c>
      <c r="N488" t="s">
        <v>391</v>
      </c>
    </row>
    <row r="489" spans="1:14">
      <c r="A489" t="s">
        <v>392</v>
      </c>
      <c r="B489">
        <v>123</v>
      </c>
      <c r="C489" t="s">
        <v>171</v>
      </c>
      <c r="D489" t="s">
        <v>34</v>
      </c>
      <c r="E489" t="s">
        <v>38</v>
      </c>
      <c r="F489" t="s">
        <v>227</v>
      </c>
      <c r="G489" t="s">
        <v>26</v>
      </c>
      <c r="H489">
        <v>0</v>
      </c>
      <c r="I489">
        <v>123</v>
      </c>
      <c r="L489" t="s">
        <v>393</v>
      </c>
      <c r="M489" t="s">
        <v>393</v>
      </c>
      <c r="N489" t="s">
        <v>394</v>
      </c>
    </row>
    <row r="490" spans="1:14">
      <c r="A490" t="s">
        <v>1253</v>
      </c>
      <c r="B490">
        <v>702</v>
      </c>
      <c r="C490" t="s">
        <v>171</v>
      </c>
      <c r="D490" t="s">
        <v>169</v>
      </c>
      <c r="E490" t="s">
        <v>35</v>
      </c>
      <c r="F490" t="s">
        <v>227</v>
      </c>
      <c r="G490" t="s">
        <v>26</v>
      </c>
      <c r="H490">
        <v>0</v>
      </c>
      <c r="I490">
        <v>702</v>
      </c>
      <c r="L490" t="s">
        <v>1254</v>
      </c>
      <c r="M490" t="s">
        <v>1254</v>
      </c>
      <c r="N490" t="s">
        <v>332</v>
      </c>
    </row>
    <row r="491" spans="1:14">
      <c r="A491" t="s">
        <v>300</v>
      </c>
      <c r="B491">
        <v>351</v>
      </c>
      <c r="C491" t="s">
        <v>171</v>
      </c>
      <c r="D491" t="s">
        <v>20</v>
      </c>
      <c r="E491" t="s">
        <v>35</v>
      </c>
      <c r="F491" t="s">
        <v>227</v>
      </c>
      <c r="G491" t="s">
        <v>26</v>
      </c>
      <c r="H491">
        <v>0</v>
      </c>
      <c r="I491">
        <v>351</v>
      </c>
      <c r="L491" t="s">
        <v>302</v>
      </c>
      <c r="M491" t="s">
        <v>1260</v>
      </c>
      <c r="N491" t="s">
        <v>303</v>
      </c>
    </row>
    <row r="492" spans="1:14">
      <c r="A492" t="s">
        <v>395</v>
      </c>
      <c r="B492">
        <v>101</v>
      </c>
      <c r="C492" t="s">
        <v>171</v>
      </c>
      <c r="D492" t="s">
        <v>20</v>
      </c>
      <c r="E492" t="s">
        <v>38</v>
      </c>
      <c r="F492" t="s">
        <v>227</v>
      </c>
      <c r="G492" t="s">
        <v>26</v>
      </c>
      <c r="H492">
        <v>0</v>
      </c>
      <c r="I492">
        <v>101</v>
      </c>
      <c r="L492" t="s">
        <v>62</v>
      </c>
      <c r="M492" t="s">
        <v>62</v>
      </c>
      <c r="N492" t="s">
        <v>396</v>
      </c>
    </row>
    <row r="493" spans="1:14">
      <c r="A493" t="s">
        <v>397</v>
      </c>
      <c r="B493">
        <v>274</v>
      </c>
      <c r="C493" t="s">
        <v>171</v>
      </c>
      <c r="D493" t="s">
        <v>20</v>
      </c>
      <c r="E493" t="s">
        <v>38</v>
      </c>
      <c r="F493" t="s">
        <v>227</v>
      </c>
      <c r="G493" t="s">
        <v>26</v>
      </c>
      <c r="H493">
        <v>0</v>
      </c>
      <c r="I493">
        <v>274</v>
      </c>
      <c r="L493" t="s">
        <v>398</v>
      </c>
      <c r="M493" t="s">
        <v>398</v>
      </c>
      <c r="N493" t="s">
        <v>399</v>
      </c>
    </row>
    <row r="494" spans="1:14">
      <c r="A494" t="s">
        <v>190</v>
      </c>
      <c r="B494">
        <v>319</v>
      </c>
      <c r="C494" t="s">
        <v>171</v>
      </c>
      <c r="D494" t="s">
        <v>20</v>
      </c>
      <c r="E494" t="s">
        <v>38</v>
      </c>
      <c r="F494" t="s">
        <v>227</v>
      </c>
      <c r="G494" t="s">
        <v>26</v>
      </c>
      <c r="H494">
        <v>0</v>
      </c>
      <c r="I494">
        <v>319</v>
      </c>
      <c r="M494" t="s">
        <v>190</v>
      </c>
      <c r="N494" t="s">
        <v>400</v>
      </c>
    </row>
    <row r="495" spans="1:14">
      <c r="A495" t="s">
        <v>401</v>
      </c>
      <c r="B495">
        <v>3.3799999999999997E-2</v>
      </c>
      <c r="C495" t="s">
        <v>171</v>
      </c>
      <c r="D495" t="s">
        <v>20</v>
      </c>
      <c r="E495" t="s">
        <v>119</v>
      </c>
      <c r="F495" t="s">
        <v>227</v>
      </c>
      <c r="G495" t="s">
        <v>26</v>
      </c>
      <c r="H495">
        <v>0</v>
      </c>
      <c r="I495">
        <v>3.3799999999999997E-2</v>
      </c>
      <c r="L495" t="s">
        <v>402</v>
      </c>
      <c r="M495" t="s">
        <v>402</v>
      </c>
      <c r="N495" t="s">
        <v>403</v>
      </c>
    </row>
    <row r="496" spans="1:14">
      <c r="A496" t="s">
        <v>193</v>
      </c>
      <c r="B496">
        <v>751</v>
      </c>
      <c r="C496" t="s">
        <v>171</v>
      </c>
      <c r="D496" t="s">
        <v>20</v>
      </c>
      <c r="E496" t="s">
        <v>38</v>
      </c>
      <c r="F496" t="s">
        <v>227</v>
      </c>
      <c r="G496" t="s">
        <v>26</v>
      </c>
      <c r="H496">
        <v>0</v>
      </c>
      <c r="I496">
        <v>751</v>
      </c>
      <c r="M496" t="s">
        <v>193</v>
      </c>
      <c r="N496" t="s">
        <v>336</v>
      </c>
    </row>
    <row r="498" spans="1:14">
      <c r="A498" s="1" t="s">
        <v>0</v>
      </c>
      <c r="B498" s="1" t="s">
        <v>404</v>
      </c>
    </row>
    <row r="499" spans="1:14">
      <c r="A499" t="s">
        <v>13</v>
      </c>
      <c r="B499" t="s">
        <v>328</v>
      </c>
    </row>
    <row r="500" spans="1:14">
      <c r="A500" t="s">
        <v>1</v>
      </c>
      <c r="B500" t="s">
        <v>155</v>
      </c>
    </row>
    <row r="501" spans="1:14">
      <c r="A501" t="s">
        <v>2</v>
      </c>
      <c r="B501">
        <v>1</v>
      </c>
    </row>
    <row r="502" spans="1:14">
      <c r="A502" t="s">
        <v>3</v>
      </c>
      <c r="B502" t="s">
        <v>404</v>
      </c>
    </row>
    <row r="503" spans="1:14">
      <c r="A503" t="s">
        <v>5</v>
      </c>
      <c r="B503" t="s">
        <v>6</v>
      </c>
    </row>
    <row r="504" spans="1:14">
      <c r="A504" t="s">
        <v>7</v>
      </c>
      <c r="B504" t="s">
        <v>7</v>
      </c>
    </row>
    <row r="505" spans="1:14">
      <c r="A505" s="1" t="s">
        <v>14</v>
      </c>
    </row>
    <row r="506" spans="1:14">
      <c r="A506" t="s">
        <v>15</v>
      </c>
      <c r="B506" t="s">
        <v>16</v>
      </c>
      <c r="C506" t="s">
        <v>17</v>
      </c>
      <c r="D506" t="s">
        <v>1</v>
      </c>
      <c r="E506" t="s">
        <v>7</v>
      </c>
      <c r="F506" t="s">
        <v>18</v>
      </c>
      <c r="G506" t="s">
        <v>5</v>
      </c>
      <c r="H506" t="s">
        <v>203</v>
      </c>
      <c r="I506" t="s">
        <v>204</v>
      </c>
      <c r="J506" t="s">
        <v>206</v>
      </c>
      <c r="K506" t="s">
        <v>13</v>
      </c>
      <c r="L506" t="s">
        <v>208</v>
      </c>
      <c r="M506" t="s">
        <v>3</v>
      </c>
      <c r="N506" t="s">
        <v>209</v>
      </c>
    </row>
    <row r="507" spans="1:14">
      <c r="A507" t="s">
        <v>404</v>
      </c>
      <c r="B507">
        <v>1</v>
      </c>
      <c r="C507" t="s">
        <v>1413</v>
      </c>
      <c r="D507" t="s">
        <v>155</v>
      </c>
      <c r="E507" t="s">
        <v>7</v>
      </c>
      <c r="F507" t="s">
        <v>224</v>
      </c>
      <c r="G507" t="s">
        <v>24</v>
      </c>
      <c r="J507">
        <v>100</v>
      </c>
      <c r="M507" t="s">
        <v>404</v>
      </c>
    </row>
    <row r="508" spans="1:14">
      <c r="A508" t="s">
        <v>41</v>
      </c>
      <c r="B508">
        <v>278000</v>
      </c>
      <c r="C508" t="s">
        <v>171</v>
      </c>
      <c r="D508" t="s">
        <v>42</v>
      </c>
      <c r="E508" t="s">
        <v>38</v>
      </c>
      <c r="F508" t="s">
        <v>227</v>
      </c>
      <c r="G508" t="s">
        <v>26</v>
      </c>
      <c r="H508">
        <v>0</v>
      </c>
      <c r="I508">
        <v>278000</v>
      </c>
      <c r="L508" t="s">
        <v>43</v>
      </c>
      <c r="M508" t="s">
        <v>43</v>
      </c>
      <c r="N508" t="s">
        <v>386</v>
      </c>
    </row>
    <row r="509" spans="1:14">
      <c r="A509" t="s">
        <v>1253</v>
      </c>
      <c r="B509">
        <v>55700</v>
      </c>
      <c r="C509" t="s">
        <v>171</v>
      </c>
      <c r="D509" t="s">
        <v>155</v>
      </c>
      <c r="E509" t="s">
        <v>35</v>
      </c>
      <c r="F509" t="s">
        <v>227</v>
      </c>
      <c r="G509" t="s">
        <v>26</v>
      </c>
      <c r="H509">
        <v>0</v>
      </c>
      <c r="I509">
        <v>55700</v>
      </c>
      <c r="L509" t="s">
        <v>1254</v>
      </c>
      <c r="M509" t="s">
        <v>1254</v>
      </c>
      <c r="N509" t="s">
        <v>332</v>
      </c>
    </row>
    <row r="510" spans="1:14">
      <c r="A510" t="s">
        <v>300</v>
      </c>
      <c r="B510">
        <v>13900</v>
      </c>
      <c r="C510" t="s">
        <v>171</v>
      </c>
      <c r="D510" t="s">
        <v>20</v>
      </c>
      <c r="E510" t="s">
        <v>35</v>
      </c>
      <c r="F510" t="s">
        <v>227</v>
      </c>
      <c r="G510" t="s">
        <v>26</v>
      </c>
      <c r="H510">
        <v>0</v>
      </c>
      <c r="I510">
        <v>13900</v>
      </c>
      <c r="L510" t="s">
        <v>302</v>
      </c>
      <c r="M510" t="s">
        <v>1260</v>
      </c>
      <c r="N510" t="s">
        <v>303</v>
      </c>
    </row>
    <row r="511" spans="1:14">
      <c r="A511" t="s">
        <v>333</v>
      </c>
      <c r="B511">
        <v>278000</v>
      </c>
      <c r="C511" t="s">
        <v>171</v>
      </c>
      <c r="D511" t="s">
        <v>20</v>
      </c>
      <c r="E511" t="s">
        <v>38</v>
      </c>
      <c r="F511" t="s">
        <v>227</v>
      </c>
      <c r="G511" t="s">
        <v>26</v>
      </c>
      <c r="H511">
        <v>0</v>
      </c>
      <c r="I511">
        <v>278000</v>
      </c>
      <c r="M511" t="s">
        <v>333</v>
      </c>
      <c r="N511" t="s">
        <v>334</v>
      </c>
    </row>
    <row r="513" spans="1:14">
      <c r="A513" s="1" t="s">
        <v>0</v>
      </c>
      <c r="B513" s="1" t="s">
        <v>404</v>
      </c>
    </row>
    <row r="514" spans="1:14">
      <c r="A514" t="s">
        <v>13</v>
      </c>
      <c r="B514" t="s">
        <v>328</v>
      </c>
    </row>
    <row r="515" spans="1:14">
      <c r="A515" t="s">
        <v>1</v>
      </c>
      <c r="B515" t="s">
        <v>20</v>
      </c>
    </row>
    <row r="516" spans="1:14">
      <c r="A516" t="s">
        <v>2</v>
      </c>
      <c r="B516">
        <v>1</v>
      </c>
    </row>
    <row r="517" spans="1:14">
      <c r="A517" t="s">
        <v>3</v>
      </c>
      <c r="B517" t="s">
        <v>404</v>
      </c>
    </row>
    <row r="518" spans="1:14">
      <c r="A518" t="s">
        <v>5</v>
      </c>
      <c r="B518" t="s">
        <v>6</v>
      </c>
    </row>
    <row r="519" spans="1:14">
      <c r="A519" t="s">
        <v>7</v>
      </c>
      <c r="B519" t="s">
        <v>7</v>
      </c>
    </row>
    <row r="520" spans="1:14">
      <c r="A520" s="1" t="s">
        <v>14</v>
      </c>
    </row>
    <row r="521" spans="1:14">
      <c r="A521" t="s">
        <v>15</v>
      </c>
      <c r="B521" t="s">
        <v>16</v>
      </c>
      <c r="C521" t="s">
        <v>17</v>
      </c>
      <c r="D521" t="s">
        <v>1</v>
      </c>
      <c r="E521" t="s">
        <v>7</v>
      </c>
      <c r="F521" t="s">
        <v>18</v>
      </c>
      <c r="G521" t="s">
        <v>5</v>
      </c>
      <c r="H521" t="s">
        <v>203</v>
      </c>
      <c r="I521" t="s">
        <v>204</v>
      </c>
      <c r="J521" t="s">
        <v>206</v>
      </c>
      <c r="K521" t="s">
        <v>13</v>
      </c>
      <c r="L521" t="s">
        <v>208</v>
      </c>
      <c r="M521" t="s">
        <v>3</v>
      </c>
      <c r="N521" t="s">
        <v>209</v>
      </c>
    </row>
    <row r="522" spans="1:14">
      <c r="A522" t="s">
        <v>404</v>
      </c>
      <c r="B522">
        <v>1</v>
      </c>
      <c r="C522" t="s">
        <v>1413</v>
      </c>
      <c r="D522" t="s">
        <v>20</v>
      </c>
      <c r="E522" t="s">
        <v>7</v>
      </c>
      <c r="F522" t="s">
        <v>224</v>
      </c>
      <c r="G522" t="s">
        <v>24</v>
      </c>
      <c r="J522">
        <v>100</v>
      </c>
      <c r="M522" t="s">
        <v>404</v>
      </c>
    </row>
    <row r="523" spans="1:14">
      <c r="A523" t="s">
        <v>41</v>
      </c>
      <c r="B523">
        <v>278000</v>
      </c>
      <c r="C523" t="s">
        <v>171</v>
      </c>
      <c r="D523" t="s">
        <v>42</v>
      </c>
      <c r="E523" t="s">
        <v>38</v>
      </c>
      <c r="F523" t="s">
        <v>227</v>
      </c>
      <c r="G523" t="s">
        <v>26</v>
      </c>
      <c r="H523">
        <v>0</v>
      </c>
      <c r="I523">
        <v>278000</v>
      </c>
      <c r="L523" t="s">
        <v>43</v>
      </c>
      <c r="M523" t="s">
        <v>43</v>
      </c>
      <c r="N523" t="s">
        <v>386</v>
      </c>
    </row>
    <row r="524" spans="1:14">
      <c r="A524" t="s">
        <v>1253</v>
      </c>
      <c r="B524">
        <v>55700</v>
      </c>
      <c r="C524" t="s">
        <v>171</v>
      </c>
      <c r="D524" t="s">
        <v>169</v>
      </c>
      <c r="E524" t="s">
        <v>35</v>
      </c>
      <c r="F524" t="s">
        <v>227</v>
      </c>
      <c r="G524" t="s">
        <v>26</v>
      </c>
      <c r="H524">
        <v>0</v>
      </c>
      <c r="I524">
        <v>55700</v>
      </c>
      <c r="L524" t="s">
        <v>1254</v>
      </c>
      <c r="M524" t="s">
        <v>1254</v>
      </c>
      <c r="N524" t="s">
        <v>332</v>
      </c>
    </row>
    <row r="525" spans="1:14">
      <c r="A525" t="s">
        <v>300</v>
      </c>
      <c r="B525">
        <v>27800</v>
      </c>
      <c r="C525" t="s">
        <v>171</v>
      </c>
      <c r="D525" t="s">
        <v>20</v>
      </c>
      <c r="E525" t="s">
        <v>35</v>
      </c>
      <c r="F525" t="s">
        <v>227</v>
      </c>
      <c r="G525" t="s">
        <v>26</v>
      </c>
      <c r="H525">
        <v>0</v>
      </c>
      <c r="I525">
        <v>27800</v>
      </c>
      <c r="L525" t="s">
        <v>302</v>
      </c>
      <c r="M525" t="s">
        <v>1260</v>
      </c>
      <c r="N525" t="s">
        <v>303</v>
      </c>
    </row>
    <row r="526" spans="1:14">
      <c r="A526" t="s">
        <v>333</v>
      </c>
      <c r="B526">
        <v>278000</v>
      </c>
      <c r="C526" t="s">
        <v>171</v>
      </c>
      <c r="D526" t="s">
        <v>20</v>
      </c>
      <c r="E526" t="s">
        <v>38</v>
      </c>
      <c r="F526" t="s">
        <v>227</v>
      </c>
      <c r="G526" t="s">
        <v>26</v>
      </c>
      <c r="H526">
        <v>0</v>
      </c>
      <c r="I526">
        <v>278000</v>
      </c>
      <c r="M526" t="s">
        <v>333</v>
      </c>
      <c r="N526" t="s">
        <v>334</v>
      </c>
    </row>
    <row r="528" spans="1:14">
      <c r="A528" s="1" t="s">
        <v>0</v>
      </c>
      <c r="B528" s="1" t="s">
        <v>405</v>
      </c>
    </row>
    <row r="529" spans="1:14">
      <c r="A529" t="s">
        <v>13</v>
      </c>
      <c r="B529" t="s">
        <v>328</v>
      </c>
    </row>
    <row r="530" spans="1:14">
      <c r="A530" t="s">
        <v>1</v>
      </c>
      <c r="B530" t="s">
        <v>20</v>
      </c>
    </row>
    <row r="531" spans="1:14">
      <c r="A531" t="s">
        <v>2</v>
      </c>
      <c r="B531">
        <v>1</v>
      </c>
    </row>
    <row r="532" spans="1:14">
      <c r="A532" t="s">
        <v>3</v>
      </c>
      <c r="B532" t="s">
        <v>405</v>
      </c>
    </row>
    <row r="533" spans="1:14">
      <c r="A533" t="s">
        <v>5</v>
      </c>
      <c r="B533" t="s">
        <v>6</v>
      </c>
    </row>
    <row r="534" spans="1:14">
      <c r="A534" t="s">
        <v>7</v>
      </c>
      <c r="B534" t="s">
        <v>7</v>
      </c>
    </row>
    <row r="535" spans="1:14">
      <c r="A535" s="1" t="s">
        <v>14</v>
      </c>
    </row>
    <row r="536" spans="1:14">
      <c r="A536" t="s">
        <v>15</v>
      </c>
      <c r="B536" t="s">
        <v>16</v>
      </c>
      <c r="C536" t="s">
        <v>17</v>
      </c>
      <c r="D536" t="s">
        <v>1</v>
      </c>
      <c r="E536" t="s">
        <v>7</v>
      </c>
      <c r="F536" t="s">
        <v>18</v>
      </c>
      <c r="G536" t="s">
        <v>5</v>
      </c>
      <c r="H536" t="s">
        <v>203</v>
      </c>
      <c r="I536" t="s">
        <v>204</v>
      </c>
      <c r="J536" t="s">
        <v>206</v>
      </c>
      <c r="K536" t="s">
        <v>13</v>
      </c>
      <c r="L536" t="s">
        <v>208</v>
      </c>
      <c r="M536" t="s">
        <v>3</v>
      </c>
      <c r="N536" t="s">
        <v>209</v>
      </c>
    </row>
    <row r="537" spans="1:14">
      <c r="A537" t="s">
        <v>405</v>
      </c>
      <c r="B537">
        <v>1</v>
      </c>
      <c r="C537" t="s">
        <v>1413</v>
      </c>
      <c r="D537" t="s">
        <v>20</v>
      </c>
      <c r="E537" t="s">
        <v>7</v>
      </c>
      <c r="F537" t="s">
        <v>224</v>
      </c>
      <c r="G537" t="s">
        <v>24</v>
      </c>
      <c r="J537">
        <v>100</v>
      </c>
      <c r="M537" t="s">
        <v>405</v>
      </c>
    </row>
    <row r="538" spans="1:14">
      <c r="A538" t="s">
        <v>342</v>
      </c>
      <c r="B538">
        <v>1020000</v>
      </c>
      <c r="C538" t="s">
        <v>171</v>
      </c>
      <c r="D538" t="s">
        <v>34</v>
      </c>
      <c r="E538" t="s">
        <v>38</v>
      </c>
      <c r="F538" t="s">
        <v>227</v>
      </c>
      <c r="G538" t="s">
        <v>26</v>
      </c>
      <c r="H538">
        <v>0</v>
      </c>
      <c r="I538">
        <v>1020000</v>
      </c>
      <c r="L538" t="s">
        <v>343</v>
      </c>
      <c r="M538" t="s">
        <v>343</v>
      </c>
      <c r="N538" t="s">
        <v>344</v>
      </c>
    </row>
    <row r="539" spans="1:14">
      <c r="A539" t="s">
        <v>39</v>
      </c>
      <c r="B539">
        <v>1020000</v>
      </c>
      <c r="C539" t="s">
        <v>171</v>
      </c>
      <c r="D539" t="s">
        <v>34</v>
      </c>
      <c r="E539" t="s">
        <v>38</v>
      </c>
      <c r="F539" t="s">
        <v>227</v>
      </c>
      <c r="G539" t="s">
        <v>26</v>
      </c>
      <c r="H539">
        <v>0</v>
      </c>
      <c r="I539">
        <v>1020000</v>
      </c>
      <c r="L539" t="s">
        <v>40</v>
      </c>
      <c r="M539" t="s">
        <v>40</v>
      </c>
      <c r="N539" t="s">
        <v>299</v>
      </c>
    </row>
    <row r="540" spans="1:14">
      <c r="A540" t="s">
        <v>1253</v>
      </c>
      <c r="B540">
        <v>223000</v>
      </c>
      <c r="C540" t="s">
        <v>171</v>
      </c>
      <c r="D540" t="s">
        <v>169</v>
      </c>
      <c r="E540" t="s">
        <v>35</v>
      </c>
      <c r="F540" t="s">
        <v>227</v>
      </c>
      <c r="G540" t="s">
        <v>26</v>
      </c>
      <c r="H540">
        <v>0</v>
      </c>
      <c r="I540">
        <v>223000</v>
      </c>
      <c r="L540" t="s">
        <v>1254</v>
      </c>
      <c r="M540" t="s">
        <v>1254</v>
      </c>
      <c r="N540" t="s">
        <v>332</v>
      </c>
    </row>
    <row r="541" spans="1:14">
      <c r="A541" t="s">
        <v>300</v>
      </c>
      <c r="B541">
        <v>112000</v>
      </c>
      <c r="C541" t="s">
        <v>171</v>
      </c>
      <c r="D541" t="s">
        <v>20</v>
      </c>
      <c r="E541" t="s">
        <v>35</v>
      </c>
      <c r="F541" t="s">
        <v>227</v>
      </c>
      <c r="G541" t="s">
        <v>26</v>
      </c>
      <c r="H541">
        <v>0</v>
      </c>
      <c r="I541">
        <v>112000</v>
      </c>
      <c r="L541" t="s">
        <v>302</v>
      </c>
      <c r="M541" t="s">
        <v>1260</v>
      </c>
      <c r="N541" t="s">
        <v>303</v>
      </c>
    </row>
    <row r="543" spans="1:14">
      <c r="A543" s="1" t="s">
        <v>0</v>
      </c>
      <c r="B543" s="1" t="s">
        <v>378</v>
      </c>
    </row>
    <row r="544" spans="1:14">
      <c r="A544" t="s">
        <v>13</v>
      </c>
      <c r="B544" t="s">
        <v>328</v>
      </c>
    </row>
    <row r="545" spans="1:16">
      <c r="A545" t="s">
        <v>1</v>
      </c>
      <c r="B545" t="s">
        <v>194</v>
      </c>
    </row>
    <row r="546" spans="1:16">
      <c r="A546" t="s">
        <v>2</v>
      </c>
      <c r="B546">
        <v>1</v>
      </c>
    </row>
    <row r="547" spans="1:16">
      <c r="A547" t="s">
        <v>3</v>
      </c>
      <c r="B547" t="s">
        <v>378</v>
      </c>
    </row>
    <row r="548" spans="1:16">
      <c r="A548" t="s">
        <v>5</v>
      </c>
      <c r="B548" t="s">
        <v>6</v>
      </c>
    </row>
    <row r="549" spans="1:16">
      <c r="A549" t="s">
        <v>7</v>
      </c>
      <c r="B549" t="s">
        <v>38</v>
      </c>
    </row>
    <row r="550" spans="1:16">
      <c r="A550" s="1" t="s">
        <v>14</v>
      </c>
    </row>
    <row r="551" spans="1:16">
      <c r="A551" t="s">
        <v>15</v>
      </c>
      <c r="B551" t="s">
        <v>16</v>
      </c>
      <c r="C551" t="s">
        <v>17</v>
      </c>
      <c r="D551" t="s">
        <v>1</v>
      </c>
      <c r="E551" t="s">
        <v>7</v>
      </c>
      <c r="F551" t="s">
        <v>18</v>
      </c>
      <c r="G551" t="s">
        <v>5</v>
      </c>
      <c r="H551" t="s">
        <v>203</v>
      </c>
      <c r="I551" t="s">
        <v>204</v>
      </c>
      <c r="J551" t="s">
        <v>205</v>
      </c>
      <c r="K551" t="s">
        <v>206</v>
      </c>
      <c r="L551" t="s">
        <v>13</v>
      </c>
      <c r="M551" t="s">
        <v>207</v>
      </c>
      <c r="N551" t="s">
        <v>208</v>
      </c>
      <c r="O551" t="s">
        <v>3</v>
      </c>
      <c r="P551" t="s">
        <v>209</v>
      </c>
    </row>
    <row r="552" spans="1:16">
      <c r="A552" t="s">
        <v>406</v>
      </c>
      <c r="B552">
        <v>1.6000000000000001E-3</v>
      </c>
      <c r="C552" t="s">
        <v>172</v>
      </c>
      <c r="E552" t="s">
        <v>211</v>
      </c>
      <c r="F552" t="s">
        <v>212</v>
      </c>
      <c r="G552" t="s">
        <v>126</v>
      </c>
      <c r="H552">
        <v>2</v>
      </c>
      <c r="I552">
        <v>-6.4377516497364011</v>
      </c>
      <c r="J552">
        <v>0.54930614433405478</v>
      </c>
      <c r="L552" t="s">
        <v>407</v>
      </c>
      <c r="M552">
        <v>0</v>
      </c>
    </row>
    <row r="553" spans="1:16">
      <c r="A553" t="s">
        <v>408</v>
      </c>
      <c r="B553">
        <v>5.8099999999999999E-2</v>
      </c>
      <c r="C553" t="s">
        <v>172</v>
      </c>
      <c r="E553" t="s">
        <v>38</v>
      </c>
      <c r="F553" t="s">
        <v>217</v>
      </c>
      <c r="G553" t="s">
        <v>126</v>
      </c>
      <c r="H553">
        <v>2</v>
      </c>
      <c r="I553">
        <v>-2.845589615124271</v>
      </c>
      <c r="J553">
        <v>0.3465735902799727</v>
      </c>
      <c r="L553" t="s">
        <v>409</v>
      </c>
      <c r="M553">
        <v>0</v>
      </c>
    </row>
    <row r="554" spans="1:16">
      <c r="A554" t="s">
        <v>410</v>
      </c>
      <c r="B554">
        <v>3.13E-3</v>
      </c>
      <c r="C554" t="s">
        <v>172</v>
      </c>
      <c r="E554" t="s">
        <v>38</v>
      </c>
      <c r="F554" t="s">
        <v>217</v>
      </c>
      <c r="G554" t="s">
        <v>126</v>
      </c>
      <c r="H554">
        <v>2</v>
      </c>
      <c r="I554">
        <v>-5.7667222744300748</v>
      </c>
      <c r="J554">
        <v>0.3465735902799727</v>
      </c>
      <c r="L554" t="s">
        <v>409</v>
      </c>
      <c r="M554">
        <v>0</v>
      </c>
    </row>
    <row r="555" spans="1:16">
      <c r="A555" t="s">
        <v>411</v>
      </c>
      <c r="B555">
        <v>6.3899999999999995E-5</v>
      </c>
      <c r="C555" t="s">
        <v>172</v>
      </c>
      <c r="E555" t="s">
        <v>38</v>
      </c>
      <c r="F555" t="s">
        <v>217</v>
      </c>
      <c r="G555" t="s">
        <v>126</v>
      </c>
      <c r="H555">
        <v>2</v>
      </c>
      <c r="I555">
        <v>-9.6581911965807858</v>
      </c>
      <c r="J555">
        <v>0.3465735902799727</v>
      </c>
      <c r="L555" t="s">
        <v>409</v>
      </c>
      <c r="M555">
        <v>0</v>
      </c>
    </row>
    <row r="556" spans="1:16">
      <c r="A556" t="s">
        <v>412</v>
      </c>
      <c r="B556">
        <v>1.66E-2</v>
      </c>
      <c r="C556" t="s">
        <v>172</v>
      </c>
      <c r="E556" t="s">
        <v>38</v>
      </c>
      <c r="F556" t="s">
        <v>217</v>
      </c>
      <c r="G556" t="s">
        <v>126</v>
      </c>
      <c r="H556">
        <v>2</v>
      </c>
      <c r="I556">
        <v>-4.0983525836196391</v>
      </c>
      <c r="J556">
        <v>0.3465735902799727</v>
      </c>
      <c r="L556" t="s">
        <v>409</v>
      </c>
      <c r="M556">
        <v>0</v>
      </c>
    </row>
    <row r="557" spans="1:16">
      <c r="A557" t="s">
        <v>413</v>
      </c>
      <c r="B557">
        <v>8.3000000000000004E-2</v>
      </c>
      <c r="C557" t="s">
        <v>172</v>
      </c>
      <c r="E557" t="s">
        <v>38</v>
      </c>
      <c r="F557" t="s">
        <v>217</v>
      </c>
      <c r="G557" t="s">
        <v>126</v>
      </c>
      <c r="H557">
        <v>2</v>
      </c>
      <c r="I557">
        <v>-2.488914671185539</v>
      </c>
      <c r="J557">
        <v>0.3465735902799727</v>
      </c>
      <c r="L557" t="s">
        <v>409</v>
      </c>
      <c r="M557">
        <v>0</v>
      </c>
    </row>
    <row r="558" spans="1:16">
      <c r="A558" t="s">
        <v>414</v>
      </c>
      <c r="B558">
        <v>7.0299999999999998E-3</v>
      </c>
      <c r="C558" t="s">
        <v>172</v>
      </c>
      <c r="E558" t="s">
        <v>38</v>
      </c>
      <c r="F558" t="s">
        <v>217</v>
      </c>
      <c r="G558" t="s">
        <v>126</v>
      </c>
      <c r="H558">
        <v>2</v>
      </c>
      <c r="I558">
        <v>-4.9575685731595636</v>
      </c>
      <c r="J558">
        <v>0.3465735902799727</v>
      </c>
      <c r="L558" t="s">
        <v>409</v>
      </c>
      <c r="M558">
        <v>0</v>
      </c>
    </row>
    <row r="559" spans="1:16">
      <c r="A559" t="s">
        <v>415</v>
      </c>
      <c r="B559">
        <v>3.5799999999999998E-2</v>
      </c>
      <c r="C559" t="s">
        <v>172</v>
      </c>
      <c r="E559" t="s">
        <v>38</v>
      </c>
      <c r="F559" t="s">
        <v>217</v>
      </c>
      <c r="G559" t="s">
        <v>126</v>
      </c>
      <c r="H559">
        <v>2</v>
      </c>
      <c r="I559">
        <v>-3.3298073855754819</v>
      </c>
      <c r="J559">
        <v>0.3465735902799727</v>
      </c>
      <c r="L559" t="s">
        <v>409</v>
      </c>
      <c r="M559">
        <v>0</v>
      </c>
    </row>
    <row r="560" spans="1:16">
      <c r="A560" t="s">
        <v>214</v>
      </c>
      <c r="B560">
        <v>80</v>
      </c>
      <c r="C560" t="s">
        <v>172</v>
      </c>
      <c r="E560" t="s">
        <v>33</v>
      </c>
      <c r="F560" t="s">
        <v>212</v>
      </c>
      <c r="G560" t="s">
        <v>126</v>
      </c>
      <c r="H560">
        <v>2</v>
      </c>
      <c r="I560">
        <v>4.3820266346738812</v>
      </c>
      <c r="J560">
        <v>0.54930614433405478</v>
      </c>
      <c r="L560" t="s">
        <v>416</v>
      </c>
      <c r="M560">
        <v>0</v>
      </c>
    </row>
    <row r="561" spans="1:13">
      <c r="A561" t="s">
        <v>417</v>
      </c>
      <c r="B561">
        <v>1.5300000000000001E-4</v>
      </c>
      <c r="C561" t="s">
        <v>172</v>
      </c>
      <c r="E561" t="s">
        <v>38</v>
      </c>
      <c r="F561" t="s">
        <v>217</v>
      </c>
      <c r="G561" t="s">
        <v>126</v>
      </c>
      <c r="H561">
        <v>2</v>
      </c>
      <c r="I561">
        <v>-8.7850726365718383</v>
      </c>
      <c r="J561">
        <v>0.3465735902799727</v>
      </c>
      <c r="L561" t="s">
        <v>409</v>
      </c>
      <c r="M561">
        <v>0</v>
      </c>
    </row>
    <row r="562" spans="1:13">
      <c r="A562" t="s">
        <v>418</v>
      </c>
      <c r="B562">
        <v>4.0200000000000001E-4</v>
      </c>
      <c r="C562" t="s">
        <v>172</v>
      </c>
      <c r="E562" t="s">
        <v>38</v>
      </c>
      <c r="F562" t="s">
        <v>217</v>
      </c>
      <c r="G562" t="s">
        <v>126</v>
      </c>
      <c r="H562">
        <v>2</v>
      </c>
      <c r="I562">
        <v>-7.8190584693452534</v>
      </c>
      <c r="J562">
        <v>0.3465735902799727</v>
      </c>
      <c r="L562" t="s">
        <v>409</v>
      </c>
      <c r="M562">
        <v>0</v>
      </c>
    </row>
    <row r="563" spans="1:13">
      <c r="A563" t="s">
        <v>419</v>
      </c>
      <c r="B563">
        <v>1.0200000000000001E-5</v>
      </c>
      <c r="C563" t="s">
        <v>172</v>
      </c>
      <c r="E563" t="s">
        <v>38</v>
      </c>
      <c r="F563" t="s">
        <v>217</v>
      </c>
      <c r="G563" t="s">
        <v>126</v>
      </c>
      <c r="H563">
        <v>2</v>
      </c>
      <c r="I563">
        <v>-11.493122837674051</v>
      </c>
      <c r="J563">
        <v>0.3465735902799727</v>
      </c>
      <c r="L563" t="s">
        <v>409</v>
      </c>
      <c r="M563">
        <v>0</v>
      </c>
    </row>
    <row r="564" spans="1:13">
      <c r="A564" t="s">
        <v>420</v>
      </c>
      <c r="B564">
        <v>2.7500000000000001E-5</v>
      </c>
      <c r="C564" t="s">
        <v>172</v>
      </c>
      <c r="E564" t="s">
        <v>38</v>
      </c>
      <c r="F564" t="s">
        <v>217</v>
      </c>
      <c r="G564" t="s">
        <v>126</v>
      </c>
      <c r="H564">
        <v>2</v>
      </c>
      <c r="I564">
        <v>-10.501324553291751</v>
      </c>
      <c r="J564">
        <v>0.3465735902799727</v>
      </c>
      <c r="L564" t="s">
        <v>409</v>
      </c>
      <c r="M564">
        <v>0</v>
      </c>
    </row>
    <row r="565" spans="1:13">
      <c r="A565" t="s">
        <v>421</v>
      </c>
      <c r="B565">
        <v>3.3E-3</v>
      </c>
      <c r="C565" t="s">
        <v>172</v>
      </c>
      <c r="E565" t="s">
        <v>38</v>
      </c>
      <c r="F565" t="s">
        <v>212</v>
      </c>
      <c r="G565" t="s">
        <v>126</v>
      </c>
      <c r="H565">
        <v>2</v>
      </c>
      <c r="I565">
        <v>-5.7138328105097029</v>
      </c>
      <c r="J565">
        <v>0.3465735902799727</v>
      </c>
      <c r="L565" t="s">
        <v>409</v>
      </c>
      <c r="M565">
        <v>0</v>
      </c>
    </row>
    <row r="566" spans="1:13">
      <c r="A566" t="s">
        <v>422</v>
      </c>
      <c r="B566">
        <v>1.47E-4</v>
      </c>
      <c r="C566" t="s">
        <v>172</v>
      </c>
      <c r="E566" t="s">
        <v>38</v>
      </c>
      <c r="F566" t="s">
        <v>217</v>
      </c>
      <c r="G566" t="s">
        <v>126</v>
      </c>
      <c r="H566">
        <v>2</v>
      </c>
      <c r="I566">
        <v>-8.8250779711855376</v>
      </c>
      <c r="J566">
        <v>0.3465735902799727</v>
      </c>
      <c r="L566" t="s">
        <v>409</v>
      </c>
      <c r="M566">
        <v>0</v>
      </c>
    </row>
    <row r="567" spans="1:13">
      <c r="A567" t="s">
        <v>423</v>
      </c>
      <c r="B567">
        <v>7.0300000000000001E-2</v>
      </c>
      <c r="C567" t="s">
        <v>172</v>
      </c>
      <c r="E567" t="s">
        <v>38</v>
      </c>
      <c r="F567" t="s">
        <v>217</v>
      </c>
      <c r="G567" t="s">
        <v>126</v>
      </c>
      <c r="H567">
        <v>2</v>
      </c>
      <c r="I567">
        <v>-2.6549834801655181</v>
      </c>
      <c r="J567">
        <v>0.3465735902799727</v>
      </c>
      <c r="L567" t="s">
        <v>409</v>
      </c>
      <c r="M567">
        <v>0</v>
      </c>
    </row>
    <row r="568" spans="1:13">
      <c r="A568" t="s">
        <v>424</v>
      </c>
      <c r="B568">
        <v>0.03</v>
      </c>
      <c r="C568" t="s">
        <v>172</v>
      </c>
      <c r="E568" t="s">
        <v>38</v>
      </c>
      <c r="F568" t="s">
        <v>212</v>
      </c>
      <c r="G568" t="s">
        <v>126</v>
      </c>
      <c r="H568">
        <v>2</v>
      </c>
      <c r="I568">
        <v>-3.5065578973199818</v>
      </c>
      <c r="J568">
        <v>0.3465735902799727</v>
      </c>
      <c r="L568" t="s">
        <v>409</v>
      </c>
      <c r="M568">
        <v>0</v>
      </c>
    </row>
    <row r="569" spans="1:13">
      <c r="A569" t="s">
        <v>425</v>
      </c>
      <c r="B569">
        <v>1.2800000000000001E-3</v>
      </c>
      <c r="C569" t="s">
        <v>172</v>
      </c>
      <c r="E569" t="s">
        <v>38</v>
      </c>
      <c r="F569" t="s">
        <v>217</v>
      </c>
      <c r="G569" t="s">
        <v>126</v>
      </c>
      <c r="H569">
        <v>2</v>
      </c>
      <c r="I569">
        <v>-6.6608952010506108</v>
      </c>
      <c r="J569">
        <v>0.3465735902799727</v>
      </c>
      <c r="L569" t="s">
        <v>409</v>
      </c>
      <c r="M569">
        <v>0</v>
      </c>
    </row>
    <row r="570" spans="1:13">
      <c r="A570" t="s">
        <v>426</v>
      </c>
      <c r="B570">
        <v>2.1699999999999999E-4</v>
      </c>
      <c r="C570" t="s">
        <v>172</v>
      </c>
      <c r="E570" t="s">
        <v>38</v>
      </c>
      <c r="F570" t="s">
        <v>217</v>
      </c>
      <c r="G570" t="s">
        <v>126</v>
      </c>
      <c r="H570">
        <v>2</v>
      </c>
      <c r="I570">
        <v>-8.4356132044238148</v>
      </c>
      <c r="J570">
        <v>0.3465735902799727</v>
      </c>
      <c r="L570" t="s">
        <v>409</v>
      </c>
      <c r="M570">
        <v>0</v>
      </c>
    </row>
    <row r="571" spans="1:13">
      <c r="A571" t="s">
        <v>427</v>
      </c>
      <c r="B571">
        <v>6.0000000000000001E-3</v>
      </c>
      <c r="C571" t="s">
        <v>172</v>
      </c>
      <c r="E571" t="s">
        <v>211</v>
      </c>
      <c r="F571" t="s">
        <v>217</v>
      </c>
      <c r="G571" t="s">
        <v>126</v>
      </c>
      <c r="H571">
        <v>2</v>
      </c>
      <c r="I571">
        <v>-5.1159958097540823</v>
      </c>
      <c r="J571">
        <v>0.54930614433405478</v>
      </c>
      <c r="L571" t="s">
        <v>407</v>
      </c>
      <c r="M571">
        <v>0</v>
      </c>
    </row>
    <row r="572" spans="1:13">
      <c r="A572" t="s">
        <v>428</v>
      </c>
      <c r="B572">
        <v>2.1699999999999999E-5</v>
      </c>
      <c r="C572" t="s">
        <v>172</v>
      </c>
      <c r="E572" t="s">
        <v>38</v>
      </c>
      <c r="F572" t="s">
        <v>217</v>
      </c>
      <c r="G572" t="s">
        <v>126</v>
      </c>
      <c r="H572">
        <v>2</v>
      </c>
      <c r="I572">
        <v>-10.73819829741786</v>
      </c>
      <c r="J572">
        <v>0.3465735902799727</v>
      </c>
      <c r="L572" t="s">
        <v>409</v>
      </c>
      <c r="M572">
        <v>0</v>
      </c>
    </row>
    <row r="573" spans="1:13">
      <c r="A573" t="s">
        <v>429</v>
      </c>
      <c r="B573">
        <v>8.94E-3</v>
      </c>
      <c r="C573" t="s">
        <v>172</v>
      </c>
      <c r="E573" t="s">
        <v>38</v>
      </c>
      <c r="F573" t="s">
        <v>217</v>
      </c>
      <c r="G573" t="s">
        <v>126</v>
      </c>
      <c r="H573">
        <v>2</v>
      </c>
      <c r="I573">
        <v>-4.717219689796714</v>
      </c>
      <c r="J573">
        <v>0.3465735902799727</v>
      </c>
      <c r="L573" t="s">
        <v>409</v>
      </c>
      <c r="M573">
        <v>0</v>
      </c>
    </row>
    <row r="574" spans="1:13">
      <c r="A574" t="s">
        <v>430</v>
      </c>
      <c r="B574">
        <v>1.21E-2</v>
      </c>
      <c r="C574" t="s">
        <v>172</v>
      </c>
      <c r="E574" t="s">
        <v>38</v>
      </c>
      <c r="F574" t="s">
        <v>217</v>
      </c>
      <c r="G574" t="s">
        <v>126</v>
      </c>
      <c r="H574">
        <v>2</v>
      </c>
      <c r="I574">
        <v>-4.4145498263794414</v>
      </c>
      <c r="J574">
        <v>0.3465735902799727</v>
      </c>
      <c r="L574" t="s">
        <v>409</v>
      </c>
      <c r="M574">
        <v>0</v>
      </c>
    </row>
    <row r="575" spans="1:13">
      <c r="A575" t="s">
        <v>431</v>
      </c>
      <c r="B575">
        <v>1.85E-4</v>
      </c>
      <c r="C575" t="s">
        <v>172</v>
      </c>
      <c r="E575" t="s">
        <v>38</v>
      </c>
      <c r="F575" t="s">
        <v>217</v>
      </c>
      <c r="G575" t="s">
        <v>126</v>
      </c>
      <c r="H575">
        <v>2</v>
      </c>
      <c r="I575">
        <v>-8.5951547328859501</v>
      </c>
      <c r="J575">
        <v>0.3465735902799727</v>
      </c>
      <c r="L575" t="s">
        <v>409</v>
      </c>
      <c r="M575">
        <v>0</v>
      </c>
    </row>
    <row r="576" spans="1:13">
      <c r="A576" t="s">
        <v>432</v>
      </c>
      <c r="B576">
        <v>2.3E-3</v>
      </c>
      <c r="C576" t="s">
        <v>172</v>
      </c>
      <c r="E576" t="s">
        <v>38</v>
      </c>
      <c r="F576" t="s">
        <v>217</v>
      </c>
      <c r="G576" t="s">
        <v>126</v>
      </c>
      <c r="H576">
        <v>2</v>
      </c>
      <c r="I576">
        <v>-6.074846156047033</v>
      </c>
      <c r="J576">
        <v>0.3465735902799727</v>
      </c>
      <c r="L576" t="s">
        <v>409</v>
      </c>
      <c r="M576">
        <v>0</v>
      </c>
    </row>
    <row r="577" spans="1:16">
      <c r="A577" t="s">
        <v>433</v>
      </c>
      <c r="B577">
        <v>8.9399999999999993E-2</v>
      </c>
      <c r="C577" t="s">
        <v>172</v>
      </c>
      <c r="E577" t="s">
        <v>38</v>
      </c>
      <c r="F577" t="s">
        <v>217</v>
      </c>
      <c r="G577" t="s">
        <v>126</v>
      </c>
      <c r="H577">
        <v>2</v>
      </c>
      <c r="I577">
        <v>-2.414634596802669</v>
      </c>
      <c r="J577">
        <v>0.3465735902799727</v>
      </c>
      <c r="L577" t="s">
        <v>409</v>
      </c>
      <c r="M577">
        <v>0</v>
      </c>
    </row>
    <row r="578" spans="1:16">
      <c r="A578" t="s">
        <v>378</v>
      </c>
      <c r="B578">
        <v>1</v>
      </c>
      <c r="C578" t="s">
        <v>1413</v>
      </c>
      <c r="D578" t="s">
        <v>194</v>
      </c>
      <c r="E578" t="s">
        <v>38</v>
      </c>
      <c r="F578" t="s">
        <v>224</v>
      </c>
      <c r="G578" t="s">
        <v>24</v>
      </c>
      <c r="K578">
        <v>100</v>
      </c>
      <c r="L578" t="s">
        <v>434</v>
      </c>
      <c r="O578" t="s">
        <v>378</v>
      </c>
    </row>
    <row r="579" spans="1:16">
      <c r="A579" t="s">
        <v>363</v>
      </c>
      <c r="B579">
        <v>32</v>
      </c>
      <c r="C579" t="s">
        <v>171</v>
      </c>
      <c r="D579" t="s">
        <v>169</v>
      </c>
      <c r="E579" t="s">
        <v>33</v>
      </c>
      <c r="F579" t="s">
        <v>227</v>
      </c>
      <c r="G579" t="s">
        <v>26</v>
      </c>
      <c r="H579">
        <v>2</v>
      </c>
      <c r="I579">
        <v>3.465735902799727</v>
      </c>
      <c r="J579">
        <v>0.3465735902799727</v>
      </c>
      <c r="L579" t="s">
        <v>435</v>
      </c>
      <c r="M579">
        <v>0</v>
      </c>
      <c r="N579" t="s">
        <v>363</v>
      </c>
      <c r="O579" t="s">
        <v>363</v>
      </c>
      <c r="P579" t="s">
        <v>364</v>
      </c>
    </row>
    <row r="580" spans="1:16">
      <c r="A580" t="s">
        <v>259</v>
      </c>
      <c r="B580">
        <v>6.4999999999999997E-3</v>
      </c>
      <c r="C580" t="s">
        <v>171</v>
      </c>
      <c r="D580" t="s">
        <v>155</v>
      </c>
      <c r="E580" t="s">
        <v>38</v>
      </c>
      <c r="F580" t="s">
        <v>227</v>
      </c>
      <c r="G580" t="s">
        <v>26</v>
      </c>
      <c r="H580">
        <v>2</v>
      </c>
      <c r="I580">
        <v>-5.0359531020805459</v>
      </c>
      <c r="J580">
        <v>0.3465735902799727</v>
      </c>
      <c r="L580" t="s">
        <v>298</v>
      </c>
      <c r="M580">
        <v>0</v>
      </c>
      <c r="N580" t="s">
        <v>260</v>
      </c>
      <c r="O580" t="s">
        <v>260</v>
      </c>
      <c r="P580" t="s">
        <v>261</v>
      </c>
    </row>
    <row r="581" spans="1:16">
      <c r="A581" t="s">
        <v>436</v>
      </c>
      <c r="B581">
        <v>0.6</v>
      </c>
      <c r="C581" t="s">
        <v>171</v>
      </c>
      <c r="D581" t="s">
        <v>34</v>
      </c>
      <c r="E581" t="s">
        <v>38</v>
      </c>
      <c r="F581" t="s">
        <v>227</v>
      </c>
      <c r="G581" t="s">
        <v>26</v>
      </c>
      <c r="H581">
        <v>2</v>
      </c>
      <c r="I581">
        <v>-0.51082562376599072</v>
      </c>
      <c r="J581">
        <v>4.7655089902162509E-2</v>
      </c>
      <c r="L581" t="s">
        <v>437</v>
      </c>
      <c r="M581">
        <v>0</v>
      </c>
      <c r="N581" t="s">
        <v>438</v>
      </c>
      <c r="O581" t="s">
        <v>438</v>
      </c>
      <c r="P581" t="s">
        <v>439</v>
      </c>
    </row>
    <row r="582" spans="1:16">
      <c r="A582" t="s">
        <v>365</v>
      </c>
      <c r="B582">
        <v>36</v>
      </c>
      <c r="C582" t="s">
        <v>171</v>
      </c>
      <c r="D582" t="s">
        <v>194</v>
      </c>
      <c r="E582" t="s">
        <v>8</v>
      </c>
      <c r="F582" t="s">
        <v>227</v>
      </c>
      <c r="G582" t="s">
        <v>26</v>
      </c>
      <c r="H582">
        <v>2</v>
      </c>
      <c r="I582">
        <v>3.5835189384561099</v>
      </c>
      <c r="J582">
        <v>0.3465735902799727</v>
      </c>
      <c r="L582" t="s">
        <v>435</v>
      </c>
      <c r="M582">
        <v>0</v>
      </c>
      <c r="N582" t="s">
        <v>366</v>
      </c>
      <c r="O582" t="s">
        <v>366</v>
      </c>
      <c r="P582" t="s">
        <v>367</v>
      </c>
    </row>
    <row r="583" spans="1:16">
      <c r="A583" t="s">
        <v>440</v>
      </c>
      <c r="B583">
        <v>3.3300000000000002E-4</v>
      </c>
      <c r="C583" t="s">
        <v>171</v>
      </c>
      <c r="D583" t="s">
        <v>34</v>
      </c>
      <c r="E583" t="s">
        <v>119</v>
      </c>
      <c r="F583" t="s">
        <v>247</v>
      </c>
      <c r="G583" t="s">
        <v>26</v>
      </c>
      <c r="H583">
        <v>2</v>
      </c>
      <c r="I583">
        <v>-8.0073680679838297</v>
      </c>
      <c r="J583">
        <v>0.54930614433405478</v>
      </c>
      <c r="L583" t="s">
        <v>298</v>
      </c>
      <c r="M583">
        <v>0</v>
      </c>
      <c r="N583" t="s">
        <v>314</v>
      </c>
      <c r="O583" t="s">
        <v>314</v>
      </c>
      <c r="P583" t="s">
        <v>441</v>
      </c>
    </row>
    <row r="584" spans="1:16">
      <c r="A584" t="s">
        <v>442</v>
      </c>
      <c r="B584">
        <v>3.7E-8</v>
      </c>
      <c r="C584" t="s">
        <v>171</v>
      </c>
      <c r="D584" t="s">
        <v>34</v>
      </c>
      <c r="E584" t="s">
        <v>7</v>
      </c>
      <c r="F584" t="s">
        <v>227</v>
      </c>
      <c r="G584" t="s">
        <v>26</v>
      </c>
      <c r="H584">
        <v>2</v>
      </c>
      <c r="I584">
        <v>-17.112347924302188</v>
      </c>
      <c r="J584">
        <v>0.20273255405408211</v>
      </c>
      <c r="L584" t="s">
        <v>223</v>
      </c>
      <c r="M584">
        <v>0</v>
      </c>
      <c r="N584" t="s">
        <v>443</v>
      </c>
      <c r="O584" t="s">
        <v>443</v>
      </c>
      <c r="P584" t="s">
        <v>444</v>
      </c>
    </row>
    <row r="585" spans="1:16">
      <c r="A585" t="s">
        <v>1253</v>
      </c>
      <c r="B585">
        <v>6.4999999999999997E-4</v>
      </c>
      <c r="C585" t="s">
        <v>171</v>
      </c>
      <c r="D585" t="s">
        <v>169</v>
      </c>
      <c r="E585" t="s">
        <v>35</v>
      </c>
      <c r="F585" t="s">
        <v>227</v>
      </c>
      <c r="G585" t="s">
        <v>26</v>
      </c>
      <c r="H585">
        <v>2</v>
      </c>
      <c r="I585">
        <v>-7.3385381950745909</v>
      </c>
      <c r="J585">
        <v>0.37096867236468872</v>
      </c>
      <c r="L585" t="s">
        <v>301</v>
      </c>
      <c r="M585">
        <v>0</v>
      </c>
      <c r="N585" t="s">
        <v>1254</v>
      </c>
      <c r="O585" t="s">
        <v>1254</v>
      </c>
      <c r="P585" t="s">
        <v>332</v>
      </c>
    </row>
    <row r="586" spans="1:16">
      <c r="A586" t="s">
        <v>300</v>
      </c>
      <c r="B586">
        <v>2.85</v>
      </c>
      <c r="C586" t="s">
        <v>171</v>
      </c>
      <c r="D586" t="s">
        <v>20</v>
      </c>
      <c r="E586" t="s">
        <v>35</v>
      </c>
      <c r="F586" t="s">
        <v>227</v>
      </c>
      <c r="G586" t="s">
        <v>26</v>
      </c>
      <c r="H586">
        <v>2</v>
      </c>
      <c r="I586">
        <v>1.047318994280559</v>
      </c>
      <c r="J586">
        <v>0.37096867236468872</v>
      </c>
      <c r="L586" t="s">
        <v>301</v>
      </c>
      <c r="M586">
        <v>0</v>
      </c>
      <c r="N586" t="s">
        <v>1260</v>
      </c>
      <c r="O586" t="s">
        <v>1260</v>
      </c>
      <c r="P586" t="s">
        <v>303</v>
      </c>
    </row>
    <row r="587" spans="1:16">
      <c r="A587" t="s">
        <v>304</v>
      </c>
      <c r="B587">
        <v>300</v>
      </c>
      <c r="C587" t="s">
        <v>171</v>
      </c>
      <c r="D587" t="s">
        <v>155</v>
      </c>
      <c r="E587" t="s">
        <v>38</v>
      </c>
      <c r="F587" t="s">
        <v>227</v>
      </c>
      <c r="G587" t="s">
        <v>26</v>
      </c>
      <c r="H587">
        <v>2</v>
      </c>
      <c r="I587">
        <v>5.7037824746562009</v>
      </c>
      <c r="J587">
        <v>0.3465735902799727</v>
      </c>
      <c r="L587" t="s">
        <v>409</v>
      </c>
      <c r="M587">
        <v>0</v>
      </c>
      <c r="N587" t="s">
        <v>305</v>
      </c>
      <c r="O587" t="s">
        <v>305</v>
      </c>
      <c r="P587" t="s">
        <v>306</v>
      </c>
    </row>
    <row r="588" spans="1:16">
      <c r="A588" t="s">
        <v>445</v>
      </c>
      <c r="B588">
        <v>-0.8</v>
      </c>
      <c r="C588" t="s">
        <v>171</v>
      </c>
      <c r="D588" t="s">
        <v>155</v>
      </c>
      <c r="E588" t="s">
        <v>38</v>
      </c>
      <c r="F588" t="s">
        <v>247</v>
      </c>
      <c r="G588" t="s">
        <v>26</v>
      </c>
      <c r="H588">
        <v>2</v>
      </c>
      <c r="I588">
        <v>-0.22314355131420971</v>
      </c>
      <c r="J588">
        <v>4.7655089902162509E-2</v>
      </c>
      <c r="L588" t="s">
        <v>298</v>
      </c>
      <c r="M588">
        <v>0</v>
      </c>
      <c r="N588" t="s">
        <v>446</v>
      </c>
      <c r="O588" t="s">
        <v>446</v>
      </c>
      <c r="P588" t="s">
        <v>447</v>
      </c>
    </row>
    <row r="589" spans="1:16">
      <c r="A589" t="s">
        <v>448</v>
      </c>
      <c r="B589">
        <v>-0.13500000000000001</v>
      </c>
      <c r="C589" t="s">
        <v>171</v>
      </c>
      <c r="D589" t="s">
        <v>155</v>
      </c>
      <c r="E589" t="s">
        <v>119</v>
      </c>
      <c r="F589" t="s">
        <v>247</v>
      </c>
      <c r="G589" t="s">
        <v>26</v>
      </c>
      <c r="H589">
        <v>2</v>
      </c>
      <c r="I589">
        <v>-2.0024805005437081</v>
      </c>
      <c r="J589">
        <v>0.3465735902799727</v>
      </c>
      <c r="L589" t="s">
        <v>409</v>
      </c>
      <c r="M589">
        <v>0</v>
      </c>
      <c r="N589" t="s">
        <v>449</v>
      </c>
      <c r="O589" t="s">
        <v>449</v>
      </c>
      <c r="P589" t="s">
        <v>450</v>
      </c>
    </row>
    <row r="591" spans="1:16">
      <c r="A591" s="1" t="s">
        <v>0</v>
      </c>
      <c r="B591" s="1" t="s">
        <v>378</v>
      </c>
    </row>
    <row r="592" spans="1:16">
      <c r="A592" t="s">
        <v>13</v>
      </c>
      <c r="B592" t="s">
        <v>328</v>
      </c>
    </row>
    <row r="593" spans="1:16">
      <c r="A593" t="s">
        <v>1</v>
      </c>
      <c r="B593" t="s">
        <v>20</v>
      </c>
    </row>
    <row r="594" spans="1:16">
      <c r="A594" t="s">
        <v>2</v>
      </c>
      <c r="B594">
        <v>1</v>
      </c>
    </row>
    <row r="595" spans="1:16">
      <c r="A595" t="s">
        <v>3</v>
      </c>
      <c r="B595" t="s">
        <v>378</v>
      </c>
    </row>
    <row r="596" spans="1:16">
      <c r="A596" t="s">
        <v>5</v>
      </c>
      <c r="B596" t="s">
        <v>6</v>
      </c>
    </row>
    <row r="597" spans="1:16">
      <c r="A597" t="s">
        <v>7</v>
      </c>
      <c r="B597" t="s">
        <v>38</v>
      </c>
    </row>
    <row r="598" spans="1:16">
      <c r="A598" s="1" t="s">
        <v>14</v>
      </c>
    </row>
    <row r="599" spans="1:16">
      <c r="A599" t="s">
        <v>15</v>
      </c>
      <c r="B599" t="s">
        <v>16</v>
      </c>
      <c r="C599" t="s">
        <v>17</v>
      </c>
      <c r="D599" t="s">
        <v>1</v>
      </c>
      <c r="E599" t="s">
        <v>7</v>
      </c>
      <c r="F599" t="s">
        <v>18</v>
      </c>
      <c r="G599" t="s">
        <v>5</v>
      </c>
      <c r="H599" t="s">
        <v>203</v>
      </c>
      <c r="I599" t="s">
        <v>204</v>
      </c>
      <c r="J599" t="s">
        <v>205</v>
      </c>
      <c r="K599" t="s">
        <v>206</v>
      </c>
      <c r="L599" t="s">
        <v>13</v>
      </c>
      <c r="M599" t="s">
        <v>207</v>
      </c>
      <c r="N599" t="s">
        <v>208</v>
      </c>
      <c r="O599" t="s">
        <v>3</v>
      </c>
      <c r="P599" t="s">
        <v>209</v>
      </c>
    </row>
    <row r="600" spans="1:16">
      <c r="A600" t="s">
        <v>406</v>
      </c>
      <c r="B600">
        <v>1.6000000000000001E-3</v>
      </c>
      <c r="C600" t="s">
        <v>172</v>
      </c>
      <c r="E600" t="s">
        <v>211</v>
      </c>
      <c r="F600" t="s">
        <v>212</v>
      </c>
      <c r="G600" t="s">
        <v>126</v>
      </c>
      <c r="H600">
        <v>2</v>
      </c>
      <c r="I600">
        <v>-6.4377516497364011</v>
      </c>
      <c r="J600">
        <v>0.54930614433405478</v>
      </c>
      <c r="L600" t="s">
        <v>407</v>
      </c>
      <c r="M600">
        <v>0</v>
      </c>
    </row>
    <row r="601" spans="1:16">
      <c r="A601" t="s">
        <v>408</v>
      </c>
      <c r="B601">
        <v>5.8099999999999999E-2</v>
      </c>
      <c r="C601" t="s">
        <v>172</v>
      </c>
      <c r="E601" t="s">
        <v>38</v>
      </c>
      <c r="F601" t="s">
        <v>217</v>
      </c>
      <c r="G601" t="s">
        <v>126</v>
      </c>
      <c r="H601">
        <v>2</v>
      </c>
      <c r="I601">
        <v>-2.845589615124271</v>
      </c>
      <c r="J601">
        <v>0.3465735902799727</v>
      </c>
      <c r="L601" t="s">
        <v>409</v>
      </c>
      <c r="M601">
        <v>0</v>
      </c>
    </row>
    <row r="602" spans="1:16">
      <c r="A602" t="s">
        <v>410</v>
      </c>
      <c r="B602">
        <v>3.13E-3</v>
      </c>
      <c r="C602" t="s">
        <v>172</v>
      </c>
      <c r="E602" t="s">
        <v>38</v>
      </c>
      <c r="F602" t="s">
        <v>217</v>
      </c>
      <c r="G602" t="s">
        <v>126</v>
      </c>
      <c r="H602">
        <v>2</v>
      </c>
      <c r="I602">
        <v>-5.7667222744300748</v>
      </c>
      <c r="J602">
        <v>0.3465735902799727</v>
      </c>
      <c r="L602" t="s">
        <v>409</v>
      </c>
      <c r="M602">
        <v>0</v>
      </c>
    </row>
    <row r="603" spans="1:16">
      <c r="A603" t="s">
        <v>411</v>
      </c>
      <c r="B603">
        <v>6.3899999999999995E-5</v>
      </c>
      <c r="C603" t="s">
        <v>172</v>
      </c>
      <c r="E603" t="s">
        <v>38</v>
      </c>
      <c r="F603" t="s">
        <v>217</v>
      </c>
      <c r="G603" t="s">
        <v>126</v>
      </c>
      <c r="H603">
        <v>2</v>
      </c>
      <c r="I603">
        <v>-9.6581911965807858</v>
      </c>
      <c r="J603">
        <v>0.3465735902799727</v>
      </c>
      <c r="L603" t="s">
        <v>409</v>
      </c>
      <c r="M603">
        <v>0</v>
      </c>
    </row>
    <row r="604" spans="1:16">
      <c r="A604" t="s">
        <v>412</v>
      </c>
      <c r="B604">
        <v>1.66E-2</v>
      </c>
      <c r="C604" t="s">
        <v>172</v>
      </c>
      <c r="E604" t="s">
        <v>38</v>
      </c>
      <c r="F604" t="s">
        <v>217</v>
      </c>
      <c r="G604" t="s">
        <v>126</v>
      </c>
      <c r="H604">
        <v>2</v>
      </c>
      <c r="I604">
        <v>-4.0983525836196391</v>
      </c>
      <c r="J604">
        <v>0.3465735902799727</v>
      </c>
      <c r="L604" t="s">
        <v>409</v>
      </c>
      <c r="M604">
        <v>0</v>
      </c>
    </row>
    <row r="605" spans="1:16">
      <c r="A605" t="s">
        <v>413</v>
      </c>
      <c r="B605">
        <v>8.3000000000000004E-2</v>
      </c>
      <c r="C605" t="s">
        <v>172</v>
      </c>
      <c r="E605" t="s">
        <v>38</v>
      </c>
      <c r="F605" t="s">
        <v>217</v>
      </c>
      <c r="G605" t="s">
        <v>126</v>
      </c>
      <c r="H605">
        <v>2</v>
      </c>
      <c r="I605">
        <v>-2.488914671185539</v>
      </c>
      <c r="J605">
        <v>0.3465735902799727</v>
      </c>
      <c r="L605" t="s">
        <v>409</v>
      </c>
      <c r="M605">
        <v>0</v>
      </c>
    </row>
    <row r="606" spans="1:16">
      <c r="A606" t="s">
        <v>414</v>
      </c>
      <c r="B606">
        <v>7.0299999999999998E-3</v>
      </c>
      <c r="C606" t="s">
        <v>172</v>
      </c>
      <c r="E606" t="s">
        <v>38</v>
      </c>
      <c r="F606" t="s">
        <v>217</v>
      </c>
      <c r="G606" t="s">
        <v>126</v>
      </c>
      <c r="H606">
        <v>2</v>
      </c>
      <c r="I606">
        <v>-4.9575685731595636</v>
      </c>
      <c r="J606">
        <v>0.3465735902799727</v>
      </c>
      <c r="L606" t="s">
        <v>409</v>
      </c>
      <c r="M606">
        <v>0</v>
      </c>
    </row>
    <row r="607" spans="1:16">
      <c r="A607" t="s">
        <v>415</v>
      </c>
      <c r="B607">
        <v>3.5799999999999998E-2</v>
      </c>
      <c r="C607" t="s">
        <v>172</v>
      </c>
      <c r="E607" t="s">
        <v>38</v>
      </c>
      <c r="F607" t="s">
        <v>217</v>
      </c>
      <c r="G607" t="s">
        <v>126</v>
      </c>
      <c r="H607">
        <v>2</v>
      </c>
      <c r="I607">
        <v>-3.3298073855754819</v>
      </c>
      <c r="J607">
        <v>0.3465735902799727</v>
      </c>
      <c r="L607" t="s">
        <v>409</v>
      </c>
      <c r="M607">
        <v>0</v>
      </c>
    </row>
    <row r="608" spans="1:16">
      <c r="A608" t="s">
        <v>214</v>
      </c>
      <c r="B608">
        <v>80</v>
      </c>
      <c r="C608" t="s">
        <v>172</v>
      </c>
      <c r="E608" t="s">
        <v>33</v>
      </c>
      <c r="F608" t="s">
        <v>212</v>
      </c>
      <c r="G608" t="s">
        <v>126</v>
      </c>
      <c r="H608">
        <v>2</v>
      </c>
      <c r="I608">
        <v>4.3820266346738812</v>
      </c>
      <c r="J608">
        <v>0.54930614433405478</v>
      </c>
      <c r="L608" t="s">
        <v>416</v>
      </c>
      <c r="M608">
        <v>0</v>
      </c>
    </row>
    <row r="609" spans="1:13">
      <c r="A609" t="s">
        <v>417</v>
      </c>
      <c r="B609">
        <v>1.5300000000000001E-4</v>
      </c>
      <c r="C609" t="s">
        <v>172</v>
      </c>
      <c r="E609" t="s">
        <v>38</v>
      </c>
      <c r="F609" t="s">
        <v>217</v>
      </c>
      <c r="G609" t="s">
        <v>126</v>
      </c>
      <c r="H609">
        <v>2</v>
      </c>
      <c r="I609">
        <v>-8.7850726365718383</v>
      </c>
      <c r="J609">
        <v>0.3465735902799727</v>
      </c>
      <c r="L609" t="s">
        <v>409</v>
      </c>
      <c r="M609">
        <v>0</v>
      </c>
    </row>
    <row r="610" spans="1:13">
      <c r="A610" t="s">
        <v>418</v>
      </c>
      <c r="B610">
        <v>4.0200000000000001E-4</v>
      </c>
      <c r="C610" t="s">
        <v>172</v>
      </c>
      <c r="E610" t="s">
        <v>38</v>
      </c>
      <c r="F610" t="s">
        <v>217</v>
      </c>
      <c r="G610" t="s">
        <v>126</v>
      </c>
      <c r="H610">
        <v>2</v>
      </c>
      <c r="I610">
        <v>-7.8190584693452534</v>
      </c>
      <c r="J610">
        <v>0.3465735902799727</v>
      </c>
      <c r="L610" t="s">
        <v>409</v>
      </c>
      <c r="M610">
        <v>0</v>
      </c>
    </row>
    <row r="611" spans="1:13">
      <c r="A611" t="s">
        <v>419</v>
      </c>
      <c r="B611">
        <v>1.0200000000000001E-5</v>
      </c>
      <c r="C611" t="s">
        <v>172</v>
      </c>
      <c r="E611" t="s">
        <v>38</v>
      </c>
      <c r="F611" t="s">
        <v>217</v>
      </c>
      <c r="G611" t="s">
        <v>126</v>
      </c>
      <c r="H611">
        <v>2</v>
      </c>
      <c r="I611">
        <v>-11.493122837674051</v>
      </c>
      <c r="J611">
        <v>0.3465735902799727</v>
      </c>
      <c r="L611" t="s">
        <v>409</v>
      </c>
      <c r="M611">
        <v>0</v>
      </c>
    </row>
    <row r="612" spans="1:13">
      <c r="A612" t="s">
        <v>420</v>
      </c>
      <c r="B612">
        <v>2.7500000000000001E-5</v>
      </c>
      <c r="C612" t="s">
        <v>172</v>
      </c>
      <c r="E612" t="s">
        <v>38</v>
      </c>
      <c r="F612" t="s">
        <v>217</v>
      </c>
      <c r="G612" t="s">
        <v>126</v>
      </c>
      <c r="H612">
        <v>2</v>
      </c>
      <c r="I612">
        <v>-10.501324553291751</v>
      </c>
      <c r="J612">
        <v>0.3465735902799727</v>
      </c>
      <c r="L612" t="s">
        <v>409</v>
      </c>
      <c r="M612">
        <v>0</v>
      </c>
    </row>
    <row r="613" spans="1:13">
      <c r="A613" t="s">
        <v>421</v>
      </c>
      <c r="B613">
        <v>3.3E-3</v>
      </c>
      <c r="C613" t="s">
        <v>172</v>
      </c>
      <c r="E613" t="s">
        <v>38</v>
      </c>
      <c r="F613" t="s">
        <v>212</v>
      </c>
      <c r="G613" t="s">
        <v>126</v>
      </c>
      <c r="H613">
        <v>2</v>
      </c>
      <c r="I613">
        <v>-5.7138328105097029</v>
      </c>
      <c r="J613">
        <v>0.3465735902799727</v>
      </c>
      <c r="L613" t="s">
        <v>409</v>
      </c>
      <c r="M613">
        <v>0</v>
      </c>
    </row>
    <row r="614" spans="1:13">
      <c r="A614" t="s">
        <v>422</v>
      </c>
      <c r="B614">
        <v>1.47E-4</v>
      </c>
      <c r="C614" t="s">
        <v>172</v>
      </c>
      <c r="E614" t="s">
        <v>38</v>
      </c>
      <c r="F614" t="s">
        <v>217</v>
      </c>
      <c r="G614" t="s">
        <v>126</v>
      </c>
      <c r="H614">
        <v>2</v>
      </c>
      <c r="I614">
        <v>-8.8250779711855376</v>
      </c>
      <c r="J614">
        <v>0.3465735902799727</v>
      </c>
      <c r="L614" t="s">
        <v>409</v>
      </c>
      <c r="M614">
        <v>0</v>
      </c>
    </row>
    <row r="615" spans="1:13">
      <c r="A615" t="s">
        <v>423</v>
      </c>
      <c r="B615">
        <v>7.0300000000000001E-2</v>
      </c>
      <c r="C615" t="s">
        <v>172</v>
      </c>
      <c r="E615" t="s">
        <v>38</v>
      </c>
      <c r="F615" t="s">
        <v>217</v>
      </c>
      <c r="G615" t="s">
        <v>126</v>
      </c>
      <c r="H615">
        <v>2</v>
      </c>
      <c r="I615">
        <v>-2.6549834801655181</v>
      </c>
      <c r="J615">
        <v>0.3465735902799727</v>
      </c>
      <c r="L615" t="s">
        <v>409</v>
      </c>
      <c r="M615">
        <v>0</v>
      </c>
    </row>
    <row r="616" spans="1:13">
      <c r="A616" t="s">
        <v>424</v>
      </c>
      <c r="B616">
        <v>0.03</v>
      </c>
      <c r="C616" t="s">
        <v>172</v>
      </c>
      <c r="E616" t="s">
        <v>38</v>
      </c>
      <c r="F616" t="s">
        <v>212</v>
      </c>
      <c r="G616" t="s">
        <v>126</v>
      </c>
      <c r="H616">
        <v>2</v>
      </c>
      <c r="I616">
        <v>-3.5065578973199818</v>
      </c>
      <c r="J616">
        <v>0.3465735902799727</v>
      </c>
      <c r="L616" t="s">
        <v>409</v>
      </c>
      <c r="M616">
        <v>0</v>
      </c>
    </row>
    <row r="617" spans="1:13">
      <c r="A617" t="s">
        <v>425</v>
      </c>
      <c r="B617">
        <v>1.2800000000000001E-3</v>
      </c>
      <c r="C617" t="s">
        <v>172</v>
      </c>
      <c r="E617" t="s">
        <v>38</v>
      </c>
      <c r="F617" t="s">
        <v>217</v>
      </c>
      <c r="G617" t="s">
        <v>126</v>
      </c>
      <c r="H617">
        <v>2</v>
      </c>
      <c r="I617">
        <v>-6.6608952010506108</v>
      </c>
      <c r="J617">
        <v>0.3465735902799727</v>
      </c>
      <c r="L617" t="s">
        <v>409</v>
      </c>
      <c r="M617">
        <v>0</v>
      </c>
    </row>
    <row r="618" spans="1:13">
      <c r="A618" t="s">
        <v>426</v>
      </c>
      <c r="B618">
        <v>2.1699999999999999E-4</v>
      </c>
      <c r="C618" t="s">
        <v>172</v>
      </c>
      <c r="E618" t="s">
        <v>38</v>
      </c>
      <c r="F618" t="s">
        <v>217</v>
      </c>
      <c r="G618" t="s">
        <v>126</v>
      </c>
      <c r="H618">
        <v>2</v>
      </c>
      <c r="I618">
        <v>-8.4356132044238148</v>
      </c>
      <c r="J618">
        <v>0.3465735902799727</v>
      </c>
      <c r="L618" t="s">
        <v>409</v>
      </c>
      <c r="M618">
        <v>0</v>
      </c>
    </row>
    <row r="619" spans="1:13">
      <c r="A619" t="s">
        <v>427</v>
      </c>
      <c r="B619">
        <v>6.0000000000000001E-3</v>
      </c>
      <c r="C619" t="s">
        <v>172</v>
      </c>
      <c r="E619" t="s">
        <v>211</v>
      </c>
      <c r="F619" t="s">
        <v>217</v>
      </c>
      <c r="G619" t="s">
        <v>126</v>
      </c>
      <c r="H619">
        <v>2</v>
      </c>
      <c r="I619">
        <v>-5.1159958097540823</v>
      </c>
      <c r="J619">
        <v>0.54930614433405478</v>
      </c>
      <c r="L619" t="s">
        <v>407</v>
      </c>
      <c r="M619">
        <v>0</v>
      </c>
    </row>
    <row r="620" spans="1:13">
      <c r="A620" t="s">
        <v>428</v>
      </c>
      <c r="B620">
        <v>2.1699999999999999E-5</v>
      </c>
      <c r="C620" t="s">
        <v>172</v>
      </c>
      <c r="E620" t="s">
        <v>38</v>
      </c>
      <c r="F620" t="s">
        <v>217</v>
      </c>
      <c r="G620" t="s">
        <v>126</v>
      </c>
      <c r="H620">
        <v>2</v>
      </c>
      <c r="I620">
        <v>-10.73819829741786</v>
      </c>
      <c r="J620">
        <v>0.3465735902799727</v>
      </c>
      <c r="L620" t="s">
        <v>409</v>
      </c>
      <c r="M620">
        <v>0</v>
      </c>
    </row>
    <row r="621" spans="1:13">
      <c r="A621" t="s">
        <v>429</v>
      </c>
      <c r="B621">
        <v>8.94E-3</v>
      </c>
      <c r="C621" t="s">
        <v>172</v>
      </c>
      <c r="E621" t="s">
        <v>38</v>
      </c>
      <c r="F621" t="s">
        <v>217</v>
      </c>
      <c r="G621" t="s">
        <v>126</v>
      </c>
      <c r="H621">
        <v>2</v>
      </c>
      <c r="I621">
        <v>-4.717219689796714</v>
      </c>
      <c r="J621">
        <v>0.3465735902799727</v>
      </c>
      <c r="L621" t="s">
        <v>409</v>
      </c>
      <c r="M621">
        <v>0</v>
      </c>
    </row>
    <row r="622" spans="1:13">
      <c r="A622" t="s">
        <v>430</v>
      </c>
      <c r="B622">
        <v>1.21E-2</v>
      </c>
      <c r="C622" t="s">
        <v>172</v>
      </c>
      <c r="E622" t="s">
        <v>38</v>
      </c>
      <c r="F622" t="s">
        <v>217</v>
      </c>
      <c r="G622" t="s">
        <v>126</v>
      </c>
      <c r="H622">
        <v>2</v>
      </c>
      <c r="I622">
        <v>-4.4145498263794414</v>
      </c>
      <c r="J622">
        <v>0.3465735902799727</v>
      </c>
      <c r="L622" t="s">
        <v>409</v>
      </c>
      <c r="M622">
        <v>0</v>
      </c>
    </row>
    <row r="623" spans="1:13">
      <c r="A623" t="s">
        <v>431</v>
      </c>
      <c r="B623">
        <v>1.85E-4</v>
      </c>
      <c r="C623" t="s">
        <v>172</v>
      </c>
      <c r="E623" t="s">
        <v>38</v>
      </c>
      <c r="F623" t="s">
        <v>217</v>
      </c>
      <c r="G623" t="s">
        <v>126</v>
      </c>
      <c r="H623">
        <v>2</v>
      </c>
      <c r="I623">
        <v>-8.5951547328859501</v>
      </c>
      <c r="J623">
        <v>0.3465735902799727</v>
      </c>
      <c r="L623" t="s">
        <v>409</v>
      </c>
      <c r="M623">
        <v>0</v>
      </c>
    </row>
    <row r="624" spans="1:13">
      <c r="A624" t="s">
        <v>432</v>
      </c>
      <c r="B624">
        <v>2.3E-3</v>
      </c>
      <c r="C624" t="s">
        <v>172</v>
      </c>
      <c r="E624" t="s">
        <v>38</v>
      </c>
      <c r="F624" t="s">
        <v>217</v>
      </c>
      <c r="G624" t="s">
        <v>126</v>
      </c>
      <c r="H624">
        <v>2</v>
      </c>
      <c r="I624">
        <v>-6.074846156047033</v>
      </c>
      <c r="J624">
        <v>0.3465735902799727</v>
      </c>
      <c r="L624" t="s">
        <v>409</v>
      </c>
      <c r="M624">
        <v>0</v>
      </c>
    </row>
    <row r="625" spans="1:16">
      <c r="A625" t="s">
        <v>433</v>
      </c>
      <c r="B625">
        <v>8.9399999999999993E-2</v>
      </c>
      <c r="C625" t="s">
        <v>172</v>
      </c>
      <c r="E625" t="s">
        <v>38</v>
      </c>
      <c r="F625" t="s">
        <v>217</v>
      </c>
      <c r="G625" t="s">
        <v>126</v>
      </c>
      <c r="H625">
        <v>2</v>
      </c>
      <c r="I625">
        <v>-2.414634596802669</v>
      </c>
      <c r="J625">
        <v>0.3465735902799727</v>
      </c>
      <c r="L625" t="s">
        <v>409</v>
      </c>
      <c r="M625">
        <v>0</v>
      </c>
    </row>
    <row r="626" spans="1:16">
      <c r="A626" t="s">
        <v>378</v>
      </c>
      <c r="B626">
        <v>1</v>
      </c>
      <c r="C626" t="s">
        <v>1413</v>
      </c>
      <c r="D626" t="s">
        <v>20</v>
      </c>
      <c r="E626" t="s">
        <v>38</v>
      </c>
      <c r="F626" t="s">
        <v>224</v>
      </c>
      <c r="G626" t="s">
        <v>24</v>
      </c>
      <c r="K626">
        <v>100</v>
      </c>
      <c r="L626" t="s">
        <v>434</v>
      </c>
      <c r="O626" t="s">
        <v>378</v>
      </c>
    </row>
    <row r="627" spans="1:16">
      <c r="A627" t="s">
        <v>363</v>
      </c>
      <c r="B627">
        <v>32</v>
      </c>
      <c r="C627" t="s">
        <v>171</v>
      </c>
      <c r="D627" t="s">
        <v>169</v>
      </c>
      <c r="E627" t="s">
        <v>33</v>
      </c>
      <c r="F627" t="s">
        <v>227</v>
      </c>
      <c r="G627" t="s">
        <v>26</v>
      </c>
      <c r="H627">
        <v>2</v>
      </c>
      <c r="I627">
        <v>3.465735902799727</v>
      </c>
      <c r="J627">
        <v>0.3465735902799727</v>
      </c>
      <c r="L627" t="s">
        <v>435</v>
      </c>
      <c r="M627">
        <v>0</v>
      </c>
      <c r="N627" t="s">
        <v>363</v>
      </c>
      <c r="O627" t="s">
        <v>363</v>
      </c>
      <c r="P627" t="s">
        <v>364</v>
      </c>
    </row>
    <row r="628" spans="1:16">
      <c r="A628" t="s">
        <v>259</v>
      </c>
      <c r="B628">
        <v>6.4999999999999997E-3</v>
      </c>
      <c r="C628" t="s">
        <v>171</v>
      </c>
      <c r="D628" t="s">
        <v>155</v>
      </c>
      <c r="E628" t="s">
        <v>38</v>
      </c>
      <c r="F628" t="s">
        <v>227</v>
      </c>
      <c r="G628" t="s">
        <v>26</v>
      </c>
      <c r="H628">
        <v>2</v>
      </c>
      <c r="I628">
        <v>-5.0359531020805459</v>
      </c>
      <c r="J628">
        <v>0.3465735902799727</v>
      </c>
      <c r="L628" t="s">
        <v>298</v>
      </c>
      <c r="M628">
        <v>0</v>
      </c>
      <c r="N628" t="s">
        <v>260</v>
      </c>
      <c r="O628" t="s">
        <v>260</v>
      </c>
      <c r="P628" t="s">
        <v>261</v>
      </c>
    </row>
    <row r="629" spans="1:16">
      <c r="A629" t="s">
        <v>436</v>
      </c>
      <c r="B629">
        <v>0.6</v>
      </c>
      <c r="C629" t="s">
        <v>171</v>
      </c>
      <c r="D629" t="s">
        <v>34</v>
      </c>
      <c r="E629" t="s">
        <v>38</v>
      </c>
      <c r="F629" t="s">
        <v>227</v>
      </c>
      <c r="G629" t="s">
        <v>26</v>
      </c>
      <c r="H629">
        <v>2</v>
      </c>
      <c r="I629">
        <v>-0.51082562376599072</v>
      </c>
      <c r="J629">
        <v>4.7655089902162509E-2</v>
      </c>
      <c r="L629" t="s">
        <v>437</v>
      </c>
      <c r="M629">
        <v>0</v>
      </c>
      <c r="N629" t="s">
        <v>438</v>
      </c>
      <c r="O629" t="s">
        <v>438</v>
      </c>
      <c r="P629" t="s">
        <v>439</v>
      </c>
    </row>
    <row r="630" spans="1:16">
      <c r="A630" t="s">
        <v>440</v>
      </c>
      <c r="B630">
        <v>-3.3300000000000002E-4</v>
      </c>
      <c r="C630" t="s">
        <v>171</v>
      </c>
      <c r="D630" t="s">
        <v>34</v>
      </c>
      <c r="E630" t="s">
        <v>119</v>
      </c>
      <c r="F630" t="s">
        <v>247</v>
      </c>
      <c r="G630" t="s">
        <v>26</v>
      </c>
      <c r="H630">
        <v>2</v>
      </c>
      <c r="I630">
        <v>-8.0073680679838297</v>
      </c>
      <c r="J630">
        <v>0.54930614433405478</v>
      </c>
      <c r="L630" t="s">
        <v>298</v>
      </c>
      <c r="M630">
        <v>0</v>
      </c>
      <c r="N630" t="s">
        <v>314</v>
      </c>
      <c r="O630" t="s">
        <v>314</v>
      </c>
      <c r="P630" t="s">
        <v>441</v>
      </c>
    </row>
    <row r="631" spans="1:16">
      <c r="A631" t="s">
        <v>442</v>
      </c>
      <c r="B631">
        <v>3.7E-8</v>
      </c>
      <c r="C631" t="s">
        <v>171</v>
      </c>
      <c r="D631" t="s">
        <v>34</v>
      </c>
      <c r="E631" t="s">
        <v>7</v>
      </c>
      <c r="F631" t="s">
        <v>227</v>
      </c>
      <c r="G631" t="s">
        <v>26</v>
      </c>
      <c r="H631">
        <v>2</v>
      </c>
      <c r="I631">
        <v>-17.112347924302188</v>
      </c>
      <c r="J631">
        <v>0.20273255405408211</v>
      </c>
      <c r="L631" t="s">
        <v>223</v>
      </c>
      <c r="M631">
        <v>0</v>
      </c>
      <c r="N631" t="s">
        <v>443</v>
      </c>
      <c r="O631" t="s">
        <v>443</v>
      </c>
      <c r="P631" t="s">
        <v>444</v>
      </c>
    </row>
    <row r="632" spans="1:16">
      <c r="A632" t="s">
        <v>1253</v>
      </c>
      <c r="B632">
        <v>6.4999999999999997E-4</v>
      </c>
      <c r="C632" t="s">
        <v>171</v>
      </c>
      <c r="D632" t="s">
        <v>169</v>
      </c>
      <c r="E632" t="s">
        <v>35</v>
      </c>
      <c r="F632" t="s">
        <v>227</v>
      </c>
      <c r="G632" t="s">
        <v>26</v>
      </c>
      <c r="H632">
        <v>2</v>
      </c>
      <c r="I632">
        <v>-7.3385381950745909</v>
      </c>
      <c r="J632">
        <v>0.37096867236468872</v>
      </c>
      <c r="L632" t="s">
        <v>301</v>
      </c>
      <c r="M632">
        <v>0</v>
      </c>
      <c r="N632" t="s">
        <v>1254</v>
      </c>
      <c r="O632" t="s">
        <v>1254</v>
      </c>
      <c r="P632" t="s">
        <v>332</v>
      </c>
    </row>
    <row r="633" spans="1:16">
      <c r="A633" t="s">
        <v>300</v>
      </c>
      <c r="B633">
        <v>2.85</v>
      </c>
      <c r="C633" t="s">
        <v>171</v>
      </c>
      <c r="D633" t="s">
        <v>20</v>
      </c>
      <c r="E633" t="s">
        <v>35</v>
      </c>
      <c r="F633" t="s">
        <v>227</v>
      </c>
      <c r="G633" t="s">
        <v>26</v>
      </c>
      <c r="H633">
        <v>2</v>
      </c>
      <c r="I633">
        <v>1.047318994280559</v>
      </c>
      <c r="J633">
        <v>0.37096867236468872</v>
      </c>
      <c r="L633" t="s">
        <v>301</v>
      </c>
      <c r="M633">
        <v>0</v>
      </c>
      <c r="N633" t="s">
        <v>1260</v>
      </c>
      <c r="O633" t="s">
        <v>1260</v>
      </c>
      <c r="P633" t="s">
        <v>303</v>
      </c>
    </row>
    <row r="634" spans="1:16">
      <c r="A634" t="s">
        <v>304</v>
      </c>
      <c r="B634">
        <v>300</v>
      </c>
      <c r="C634" t="s">
        <v>171</v>
      </c>
      <c r="D634" t="s">
        <v>155</v>
      </c>
      <c r="E634" t="s">
        <v>38</v>
      </c>
      <c r="F634" t="s">
        <v>227</v>
      </c>
      <c r="G634" t="s">
        <v>26</v>
      </c>
      <c r="H634">
        <v>2</v>
      </c>
      <c r="I634">
        <v>5.7037824746562009</v>
      </c>
      <c r="J634">
        <v>0.3465735902799727</v>
      </c>
      <c r="L634" t="s">
        <v>409</v>
      </c>
      <c r="M634">
        <v>0</v>
      </c>
      <c r="N634" t="s">
        <v>305</v>
      </c>
      <c r="O634" t="s">
        <v>305</v>
      </c>
      <c r="P634" t="s">
        <v>306</v>
      </c>
    </row>
    <row r="635" spans="1:16">
      <c r="A635" t="s">
        <v>368</v>
      </c>
      <c r="B635">
        <v>36</v>
      </c>
      <c r="C635" t="s">
        <v>171</v>
      </c>
      <c r="D635" t="s">
        <v>369</v>
      </c>
      <c r="E635" t="s">
        <v>8</v>
      </c>
      <c r="F635" t="s">
        <v>227</v>
      </c>
      <c r="G635" t="s">
        <v>26</v>
      </c>
      <c r="H635">
        <v>2</v>
      </c>
      <c r="I635">
        <v>3.5835189384561099</v>
      </c>
      <c r="J635">
        <v>0.3465735902799727</v>
      </c>
      <c r="L635" t="s">
        <v>435</v>
      </c>
      <c r="M635">
        <v>0</v>
      </c>
      <c r="N635" t="s">
        <v>366</v>
      </c>
      <c r="O635" t="s">
        <v>366</v>
      </c>
      <c r="P635" t="s">
        <v>370</v>
      </c>
    </row>
    <row r="636" spans="1:16">
      <c r="A636" t="s">
        <v>445</v>
      </c>
      <c r="B636">
        <v>-0.8</v>
      </c>
      <c r="C636" t="s">
        <v>171</v>
      </c>
      <c r="D636" t="s">
        <v>155</v>
      </c>
      <c r="E636" t="s">
        <v>38</v>
      </c>
      <c r="F636" t="s">
        <v>247</v>
      </c>
      <c r="G636" t="s">
        <v>26</v>
      </c>
      <c r="H636">
        <v>2</v>
      </c>
      <c r="I636">
        <v>-0.22314355131420971</v>
      </c>
      <c r="J636">
        <v>4.7655089902162509E-2</v>
      </c>
      <c r="L636" t="s">
        <v>298</v>
      </c>
      <c r="M636">
        <v>0</v>
      </c>
      <c r="N636" t="s">
        <v>446</v>
      </c>
      <c r="O636" t="s">
        <v>446</v>
      </c>
      <c r="P636" t="s">
        <v>447</v>
      </c>
    </row>
    <row r="637" spans="1:16">
      <c r="A637" t="s">
        <v>448</v>
      </c>
      <c r="B637">
        <v>-0.13500000000000001</v>
      </c>
      <c r="C637" t="s">
        <v>171</v>
      </c>
      <c r="D637" t="s">
        <v>155</v>
      </c>
      <c r="E637" t="s">
        <v>119</v>
      </c>
      <c r="F637" t="s">
        <v>247</v>
      </c>
      <c r="G637" t="s">
        <v>26</v>
      </c>
      <c r="H637">
        <v>2</v>
      </c>
      <c r="I637">
        <v>-2.0024805005437081</v>
      </c>
      <c r="J637">
        <v>0.3465735902799727</v>
      </c>
      <c r="L637" t="s">
        <v>409</v>
      </c>
      <c r="M637">
        <v>0</v>
      </c>
      <c r="N637" t="s">
        <v>449</v>
      </c>
      <c r="O637" t="s">
        <v>449</v>
      </c>
      <c r="P637" t="s">
        <v>450</v>
      </c>
    </row>
    <row r="639" spans="1:16">
      <c r="A639" s="1" t="s">
        <v>0</v>
      </c>
      <c r="B639" s="1" t="s">
        <v>451</v>
      </c>
    </row>
    <row r="640" spans="1:16">
      <c r="A640" t="s">
        <v>13</v>
      </c>
      <c r="B640" t="s">
        <v>328</v>
      </c>
    </row>
    <row r="641" spans="1:14">
      <c r="A641" t="s">
        <v>1</v>
      </c>
      <c r="B641" t="s">
        <v>155</v>
      </c>
    </row>
    <row r="642" spans="1:14">
      <c r="A642" t="s">
        <v>2</v>
      </c>
      <c r="B642">
        <v>1</v>
      </c>
    </row>
    <row r="643" spans="1:14">
      <c r="A643" t="s">
        <v>3</v>
      </c>
      <c r="B643" t="s">
        <v>451</v>
      </c>
    </row>
    <row r="644" spans="1:14">
      <c r="A644" t="s">
        <v>5</v>
      </c>
      <c r="B644" t="s">
        <v>6</v>
      </c>
    </row>
    <row r="645" spans="1:14">
      <c r="A645" t="s">
        <v>7</v>
      </c>
      <c r="B645" t="s">
        <v>7</v>
      </c>
    </row>
    <row r="646" spans="1:14">
      <c r="A646" s="1" t="s">
        <v>14</v>
      </c>
    </row>
    <row r="647" spans="1:14">
      <c r="A647" t="s">
        <v>15</v>
      </c>
      <c r="B647" t="s">
        <v>16</v>
      </c>
      <c r="C647" t="s">
        <v>17</v>
      </c>
      <c r="D647" t="s">
        <v>1</v>
      </c>
      <c r="E647" t="s">
        <v>7</v>
      </c>
      <c r="F647" t="s">
        <v>18</v>
      </c>
      <c r="G647" t="s">
        <v>5</v>
      </c>
      <c r="H647" t="s">
        <v>203</v>
      </c>
      <c r="I647" t="s">
        <v>204</v>
      </c>
      <c r="J647" t="s">
        <v>206</v>
      </c>
      <c r="K647" t="s">
        <v>13</v>
      </c>
      <c r="L647" t="s">
        <v>208</v>
      </c>
      <c r="M647" t="s">
        <v>3</v>
      </c>
      <c r="N647" t="s">
        <v>209</v>
      </c>
    </row>
    <row r="648" spans="1:14">
      <c r="A648" t="s">
        <v>451</v>
      </c>
      <c r="B648">
        <v>1</v>
      </c>
      <c r="C648" t="s">
        <v>1413</v>
      </c>
      <c r="D648" t="s">
        <v>155</v>
      </c>
      <c r="E648" t="s">
        <v>7</v>
      </c>
      <c r="F648" t="s">
        <v>224</v>
      </c>
      <c r="G648" t="s">
        <v>24</v>
      </c>
      <c r="J648">
        <v>100</v>
      </c>
      <c r="M648" t="s">
        <v>451</v>
      </c>
    </row>
    <row r="649" spans="1:14">
      <c r="A649" t="s">
        <v>145</v>
      </c>
      <c r="B649">
        <v>157000</v>
      </c>
      <c r="C649" t="s">
        <v>171</v>
      </c>
      <c r="D649" t="s">
        <v>34</v>
      </c>
      <c r="E649" t="s">
        <v>38</v>
      </c>
      <c r="F649" t="s">
        <v>227</v>
      </c>
      <c r="G649" t="s">
        <v>26</v>
      </c>
      <c r="H649">
        <v>0</v>
      </c>
      <c r="I649">
        <v>157000</v>
      </c>
      <c r="L649" t="s">
        <v>146</v>
      </c>
      <c r="M649" t="s">
        <v>146</v>
      </c>
      <c r="N649" t="s">
        <v>341</v>
      </c>
    </row>
    <row r="650" spans="1:14">
      <c r="A650" t="s">
        <v>342</v>
      </c>
      <c r="B650">
        <v>629000</v>
      </c>
      <c r="C650" t="s">
        <v>171</v>
      </c>
      <c r="D650" t="s">
        <v>34</v>
      </c>
      <c r="E650" t="s">
        <v>38</v>
      </c>
      <c r="F650" t="s">
        <v>227</v>
      </c>
      <c r="G650" t="s">
        <v>26</v>
      </c>
      <c r="H650">
        <v>0</v>
      </c>
      <c r="I650">
        <v>629000</v>
      </c>
      <c r="L650" t="s">
        <v>343</v>
      </c>
      <c r="M650" t="s">
        <v>343</v>
      </c>
      <c r="N650" t="s">
        <v>344</v>
      </c>
    </row>
    <row r="651" spans="1:14">
      <c r="A651" t="s">
        <v>139</v>
      </c>
      <c r="B651">
        <v>787000</v>
      </c>
      <c r="C651" t="s">
        <v>171</v>
      </c>
      <c r="D651" t="s">
        <v>34</v>
      </c>
      <c r="E651" t="s">
        <v>38</v>
      </c>
      <c r="F651" t="s">
        <v>227</v>
      </c>
      <c r="G651" t="s">
        <v>26</v>
      </c>
      <c r="H651">
        <v>0</v>
      </c>
      <c r="I651">
        <v>787000</v>
      </c>
      <c r="L651" t="s">
        <v>140</v>
      </c>
      <c r="M651" t="s">
        <v>140</v>
      </c>
      <c r="N651" t="s">
        <v>345</v>
      </c>
    </row>
    <row r="652" spans="1:14">
      <c r="A652" t="s">
        <v>1253</v>
      </c>
      <c r="B652">
        <v>519000</v>
      </c>
      <c r="C652" t="s">
        <v>171</v>
      </c>
      <c r="D652" t="s">
        <v>155</v>
      </c>
      <c r="E652" t="s">
        <v>35</v>
      </c>
      <c r="F652" t="s">
        <v>227</v>
      </c>
      <c r="G652" t="s">
        <v>26</v>
      </c>
      <c r="H652">
        <v>0</v>
      </c>
      <c r="I652">
        <v>519000</v>
      </c>
      <c r="L652" t="s">
        <v>1254</v>
      </c>
      <c r="M652" t="s">
        <v>1254</v>
      </c>
      <c r="N652" t="s">
        <v>332</v>
      </c>
    </row>
    <row r="653" spans="1:14">
      <c r="A653" t="s">
        <v>300</v>
      </c>
      <c r="B653">
        <v>43300</v>
      </c>
      <c r="C653" t="s">
        <v>171</v>
      </c>
      <c r="D653" t="s">
        <v>20</v>
      </c>
      <c r="E653" t="s">
        <v>35</v>
      </c>
      <c r="F653" t="s">
        <v>227</v>
      </c>
      <c r="G653" t="s">
        <v>26</v>
      </c>
      <c r="H653">
        <v>0</v>
      </c>
      <c r="I653">
        <v>43300</v>
      </c>
      <c r="L653" t="s">
        <v>302</v>
      </c>
      <c r="M653" t="s">
        <v>1260</v>
      </c>
      <c r="N653" t="s">
        <v>303</v>
      </c>
    </row>
    <row r="655" spans="1:14">
      <c r="A655" s="1" t="s">
        <v>0</v>
      </c>
      <c r="B655" s="1" t="s">
        <v>451</v>
      </c>
    </row>
    <row r="656" spans="1:14">
      <c r="A656" t="s">
        <v>13</v>
      </c>
      <c r="B656" t="s">
        <v>328</v>
      </c>
    </row>
    <row r="657" spans="1:14">
      <c r="A657" t="s">
        <v>1</v>
      </c>
      <c r="B657" t="s">
        <v>20</v>
      </c>
    </row>
    <row r="658" spans="1:14">
      <c r="A658" t="s">
        <v>2</v>
      </c>
      <c r="B658">
        <v>1</v>
      </c>
    </row>
    <row r="659" spans="1:14">
      <c r="A659" t="s">
        <v>3</v>
      </c>
      <c r="B659" t="s">
        <v>451</v>
      </c>
    </row>
    <row r="660" spans="1:14">
      <c r="A660" t="s">
        <v>5</v>
      </c>
      <c r="B660" t="s">
        <v>6</v>
      </c>
    </row>
    <row r="661" spans="1:14">
      <c r="A661" t="s">
        <v>7</v>
      </c>
      <c r="B661" t="s">
        <v>7</v>
      </c>
    </row>
    <row r="662" spans="1:14">
      <c r="A662" s="1" t="s">
        <v>14</v>
      </c>
    </row>
    <row r="663" spans="1:14">
      <c r="A663" t="s">
        <v>15</v>
      </c>
      <c r="B663" t="s">
        <v>16</v>
      </c>
      <c r="C663" t="s">
        <v>17</v>
      </c>
      <c r="D663" t="s">
        <v>1</v>
      </c>
      <c r="E663" t="s">
        <v>7</v>
      </c>
      <c r="F663" t="s">
        <v>18</v>
      </c>
      <c r="G663" t="s">
        <v>5</v>
      </c>
      <c r="H663" t="s">
        <v>203</v>
      </c>
      <c r="I663" t="s">
        <v>204</v>
      </c>
      <c r="J663" t="s">
        <v>206</v>
      </c>
      <c r="K663" t="s">
        <v>13</v>
      </c>
      <c r="L663" t="s">
        <v>208</v>
      </c>
      <c r="M663" t="s">
        <v>3</v>
      </c>
      <c r="N663" t="s">
        <v>209</v>
      </c>
    </row>
    <row r="664" spans="1:14">
      <c r="A664" t="s">
        <v>451</v>
      </c>
      <c r="B664">
        <v>1</v>
      </c>
      <c r="C664" t="s">
        <v>1413</v>
      </c>
      <c r="D664" t="s">
        <v>20</v>
      </c>
      <c r="E664" t="s">
        <v>7</v>
      </c>
      <c r="F664" t="s">
        <v>224</v>
      </c>
      <c r="G664" t="s">
        <v>24</v>
      </c>
      <c r="J664">
        <v>100</v>
      </c>
      <c r="M664" t="s">
        <v>451</v>
      </c>
    </row>
    <row r="665" spans="1:14">
      <c r="A665" t="s">
        <v>145</v>
      </c>
      <c r="B665">
        <v>157000</v>
      </c>
      <c r="C665" t="s">
        <v>171</v>
      </c>
      <c r="D665" t="s">
        <v>34</v>
      </c>
      <c r="E665" t="s">
        <v>38</v>
      </c>
      <c r="F665" t="s">
        <v>227</v>
      </c>
      <c r="G665" t="s">
        <v>26</v>
      </c>
      <c r="H665">
        <v>0</v>
      </c>
      <c r="I665">
        <v>157000</v>
      </c>
      <c r="L665" t="s">
        <v>146</v>
      </c>
      <c r="M665" t="s">
        <v>146</v>
      </c>
      <c r="N665" t="s">
        <v>341</v>
      </c>
    </row>
    <row r="666" spans="1:14">
      <c r="A666" t="s">
        <v>342</v>
      </c>
      <c r="B666">
        <v>629000</v>
      </c>
      <c r="C666" t="s">
        <v>171</v>
      </c>
      <c r="D666" t="s">
        <v>34</v>
      </c>
      <c r="E666" t="s">
        <v>38</v>
      </c>
      <c r="F666" t="s">
        <v>227</v>
      </c>
      <c r="G666" t="s">
        <v>26</v>
      </c>
      <c r="H666">
        <v>0</v>
      </c>
      <c r="I666">
        <v>629000</v>
      </c>
      <c r="L666" t="s">
        <v>343</v>
      </c>
      <c r="M666" t="s">
        <v>343</v>
      </c>
      <c r="N666" t="s">
        <v>344</v>
      </c>
    </row>
    <row r="667" spans="1:14">
      <c r="A667" t="s">
        <v>139</v>
      </c>
      <c r="B667">
        <v>787000</v>
      </c>
      <c r="C667" t="s">
        <v>171</v>
      </c>
      <c r="D667" t="s">
        <v>34</v>
      </c>
      <c r="E667" t="s">
        <v>38</v>
      </c>
      <c r="F667" t="s">
        <v>227</v>
      </c>
      <c r="G667" t="s">
        <v>26</v>
      </c>
      <c r="H667">
        <v>0</v>
      </c>
      <c r="I667">
        <v>787000</v>
      </c>
      <c r="L667" t="s">
        <v>140</v>
      </c>
      <c r="M667" t="s">
        <v>140</v>
      </c>
      <c r="N667" t="s">
        <v>345</v>
      </c>
    </row>
    <row r="668" spans="1:14">
      <c r="A668" t="s">
        <v>1253</v>
      </c>
      <c r="B668">
        <v>173000</v>
      </c>
      <c r="C668" t="s">
        <v>171</v>
      </c>
      <c r="D668" t="s">
        <v>169</v>
      </c>
      <c r="E668" t="s">
        <v>35</v>
      </c>
      <c r="F668" t="s">
        <v>227</v>
      </c>
      <c r="G668" t="s">
        <v>26</v>
      </c>
      <c r="H668">
        <v>0</v>
      </c>
      <c r="I668">
        <v>173000</v>
      </c>
      <c r="L668" t="s">
        <v>1254</v>
      </c>
      <c r="M668" t="s">
        <v>1254</v>
      </c>
      <c r="N668" t="s">
        <v>332</v>
      </c>
    </row>
    <row r="669" spans="1:14">
      <c r="A669" t="s">
        <v>300</v>
      </c>
      <c r="B669">
        <v>86500</v>
      </c>
      <c r="C669" t="s">
        <v>171</v>
      </c>
      <c r="D669" t="s">
        <v>20</v>
      </c>
      <c r="E669" t="s">
        <v>35</v>
      </c>
      <c r="F669" t="s">
        <v>227</v>
      </c>
      <c r="G669" t="s">
        <v>26</v>
      </c>
      <c r="H669">
        <v>0</v>
      </c>
      <c r="I669">
        <v>86500</v>
      </c>
      <c r="L669" t="s">
        <v>302</v>
      </c>
      <c r="M669" t="s">
        <v>1260</v>
      </c>
      <c r="N669" t="s">
        <v>303</v>
      </c>
    </row>
    <row r="671" spans="1:14">
      <c r="A671" s="1" t="s">
        <v>0</v>
      </c>
      <c r="B671" s="1" t="s">
        <v>357</v>
      </c>
    </row>
    <row r="672" spans="1:14">
      <c r="A672" t="s">
        <v>13</v>
      </c>
      <c r="B672" t="s">
        <v>328</v>
      </c>
    </row>
    <row r="673" spans="1:14">
      <c r="A673" t="s">
        <v>1</v>
      </c>
      <c r="B673" t="s">
        <v>20</v>
      </c>
    </row>
    <row r="674" spans="1:14">
      <c r="A674" t="s">
        <v>2</v>
      </c>
      <c r="B674">
        <v>1</v>
      </c>
    </row>
    <row r="675" spans="1:14">
      <c r="A675" t="s">
        <v>3</v>
      </c>
      <c r="B675" t="s">
        <v>357</v>
      </c>
    </row>
    <row r="676" spans="1:14">
      <c r="A676" t="s">
        <v>5</v>
      </c>
      <c r="B676" t="s">
        <v>6</v>
      </c>
    </row>
    <row r="677" spans="1:14">
      <c r="A677" t="s">
        <v>7</v>
      </c>
      <c r="B677" t="s">
        <v>7</v>
      </c>
    </row>
    <row r="678" spans="1:14">
      <c r="A678" s="1" t="s">
        <v>14</v>
      </c>
    </row>
    <row r="679" spans="1:14">
      <c r="A679" t="s">
        <v>15</v>
      </c>
      <c r="B679" t="s">
        <v>16</v>
      </c>
      <c r="C679" t="s">
        <v>17</v>
      </c>
      <c r="D679" t="s">
        <v>1</v>
      </c>
      <c r="E679" t="s">
        <v>7</v>
      </c>
      <c r="F679" t="s">
        <v>18</v>
      </c>
      <c r="G679" t="s">
        <v>5</v>
      </c>
      <c r="H679" t="s">
        <v>203</v>
      </c>
      <c r="I679" t="s">
        <v>204</v>
      </c>
      <c r="J679" t="s">
        <v>206</v>
      </c>
      <c r="K679" t="s">
        <v>13</v>
      </c>
      <c r="L679" t="s">
        <v>208</v>
      </c>
      <c r="M679" t="s">
        <v>3</v>
      </c>
      <c r="N679" t="s">
        <v>209</v>
      </c>
    </row>
    <row r="680" spans="1:14">
      <c r="A680" t="s">
        <v>357</v>
      </c>
      <c r="B680">
        <v>1</v>
      </c>
      <c r="C680" t="s">
        <v>1413</v>
      </c>
      <c r="D680" t="s">
        <v>20</v>
      </c>
      <c r="E680" t="s">
        <v>7</v>
      </c>
      <c r="F680" t="s">
        <v>224</v>
      </c>
      <c r="G680" t="s">
        <v>24</v>
      </c>
      <c r="J680">
        <v>100</v>
      </c>
      <c r="M680" t="s">
        <v>357</v>
      </c>
    </row>
    <row r="681" spans="1:14">
      <c r="A681" t="s">
        <v>338</v>
      </c>
      <c r="B681">
        <v>262500</v>
      </c>
      <c r="C681" t="s">
        <v>1413</v>
      </c>
      <c r="D681" t="s">
        <v>20</v>
      </c>
      <c r="E681" t="s">
        <v>131</v>
      </c>
      <c r="F681" t="s">
        <v>227</v>
      </c>
      <c r="G681" t="s">
        <v>26</v>
      </c>
      <c r="H681">
        <v>0</v>
      </c>
      <c r="I681">
        <v>262500</v>
      </c>
      <c r="M681" t="s">
        <v>338</v>
      </c>
    </row>
    <row r="682" spans="1:14">
      <c r="A682" t="s">
        <v>346</v>
      </c>
      <c r="B682">
        <v>1</v>
      </c>
      <c r="C682" t="s">
        <v>1413</v>
      </c>
      <c r="D682" t="s">
        <v>20</v>
      </c>
      <c r="E682" t="s">
        <v>7</v>
      </c>
      <c r="F682" t="s">
        <v>227</v>
      </c>
      <c r="G682" t="s">
        <v>26</v>
      </c>
      <c r="H682">
        <v>0</v>
      </c>
      <c r="I682">
        <v>1</v>
      </c>
      <c r="M682" t="s">
        <v>346</v>
      </c>
    </row>
    <row r="683" spans="1:14">
      <c r="A683" t="s">
        <v>347</v>
      </c>
      <c r="B683">
        <v>1</v>
      </c>
      <c r="C683" t="s">
        <v>1413</v>
      </c>
      <c r="D683" t="s">
        <v>20</v>
      </c>
      <c r="E683" t="s">
        <v>7</v>
      </c>
      <c r="F683" t="s">
        <v>227</v>
      </c>
      <c r="G683" t="s">
        <v>26</v>
      </c>
      <c r="H683">
        <v>0</v>
      </c>
      <c r="I683">
        <v>1</v>
      </c>
      <c r="M683" t="s">
        <v>347</v>
      </c>
    </row>
    <row r="684" spans="1:14">
      <c r="A684" t="s">
        <v>349</v>
      </c>
      <c r="B684">
        <v>4</v>
      </c>
      <c r="C684" t="s">
        <v>1413</v>
      </c>
      <c r="D684" t="s">
        <v>20</v>
      </c>
      <c r="E684" t="s">
        <v>7</v>
      </c>
      <c r="F684" t="s">
        <v>227</v>
      </c>
      <c r="G684" t="s">
        <v>26</v>
      </c>
      <c r="H684">
        <v>0</v>
      </c>
      <c r="I684">
        <v>4</v>
      </c>
      <c r="M684" t="s">
        <v>349</v>
      </c>
    </row>
    <row r="685" spans="1:14">
      <c r="A685" t="s">
        <v>375</v>
      </c>
      <c r="B685">
        <v>1</v>
      </c>
      <c r="C685" t="s">
        <v>1413</v>
      </c>
      <c r="D685" t="s">
        <v>20</v>
      </c>
      <c r="E685" t="s">
        <v>7</v>
      </c>
      <c r="F685" t="s">
        <v>227</v>
      </c>
      <c r="G685" t="s">
        <v>26</v>
      </c>
      <c r="H685">
        <v>0</v>
      </c>
      <c r="I685">
        <v>1</v>
      </c>
      <c r="M685" t="s">
        <v>375</v>
      </c>
    </row>
    <row r="686" spans="1:14">
      <c r="A686" t="s">
        <v>381</v>
      </c>
      <c r="B686">
        <v>26250</v>
      </c>
      <c r="C686" t="s">
        <v>1413</v>
      </c>
      <c r="D686" t="s">
        <v>20</v>
      </c>
      <c r="E686" t="s">
        <v>114</v>
      </c>
      <c r="F686" t="s">
        <v>227</v>
      </c>
      <c r="G686" t="s">
        <v>26</v>
      </c>
      <c r="H686">
        <v>0</v>
      </c>
      <c r="I686">
        <v>26250</v>
      </c>
      <c r="M686" t="s">
        <v>381</v>
      </c>
    </row>
    <row r="687" spans="1:14">
      <c r="A687" t="s">
        <v>383</v>
      </c>
      <c r="B687">
        <v>630</v>
      </c>
      <c r="C687" t="s">
        <v>1413</v>
      </c>
      <c r="D687" t="s">
        <v>20</v>
      </c>
      <c r="E687" t="s">
        <v>7</v>
      </c>
      <c r="F687" t="s">
        <v>227</v>
      </c>
      <c r="G687" t="s">
        <v>26</v>
      </c>
      <c r="H687">
        <v>0</v>
      </c>
      <c r="I687">
        <v>630</v>
      </c>
      <c r="M687" t="s">
        <v>383</v>
      </c>
    </row>
    <row r="688" spans="1:14">
      <c r="A688" t="s">
        <v>384</v>
      </c>
      <c r="B688">
        <v>137</v>
      </c>
      <c r="C688" t="s">
        <v>1413</v>
      </c>
      <c r="D688" t="s">
        <v>20</v>
      </c>
      <c r="E688" t="s">
        <v>7</v>
      </c>
      <c r="F688" t="s">
        <v>227</v>
      </c>
      <c r="G688" t="s">
        <v>26</v>
      </c>
      <c r="H688">
        <v>0</v>
      </c>
      <c r="I688">
        <v>137</v>
      </c>
      <c r="M688" t="s">
        <v>384</v>
      </c>
    </row>
    <row r="689" spans="1:14">
      <c r="A689" t="s">
        <v>385</v>
      </c>
      <c r="B689">
        <v>210</v>
      </c>
      <c r="C689" t="s">
        <v>1413</v>
      </c>
      <c r="D689" t="s">
        <v>20</v>
      </c>
      <c r="E689" t="s">
        <v>7</v>
      </c>
      <c r="F689" t="s">
        <v>227</v>
      </c>
      <c r="G689" t="s">
        <v>26</v>
      </c>
      <c r="H689">
        <v>0</v>
      </c>
      <c r="I689">
        <v>210</v>
      </c>
      <c r="M689" t="s">
        <v>385</v>
      </c>
    </row>
    <row r="690" spans="1:14">
      <c r="A690" t="s">
        <v>405</v>
      </c>
      <c r="B690">
        <v>1</v>
      </c>
      <c r="C690" t="s">
        <v>1413</v>
      </c>
      <c r="D690" t="s">
        <v>20</v>
      </c>
      <c r="E690" t="s">
        <v>7</v>
      </c>
      <c r="F690" t="s">
        <v>227</v>
      </c>
      <c r="G690" t="s">
        <v>26</v>
      </c>
      <c r="H690">
        <v>0</v>
      </c>
      <c r="I690">
        <v>1</v>
      </c>
      <c r="M690" t="s">
        <v>405</v>
      </c>
    </row>
    <row r="691" spans="1:14">
      <c r="A691" t="s">
        <v>452</v>
      </c>
      <c r="B691">
        <v>1</v>
      </c>
      <c r="C691" t="s">
        <v>1413</v>
      </c>
      <c r="D691" t="s">
        <v>20</v>
      </c>
      <c r="E691" t="s">
        <v>7</v>
      </c>
      <c r="F691" t="s">
        <v>227</v>
      </c>
      <c r="G691" t="s">
        <v>26</v>
      </c>
      <c r="H691">
        <v>0</v>
      </c>
      <c r="I691">
        <v>1</v>
      </c>
      <c r="M691" t="s">
        <v>452</v>
      </c>
    </row>
    <row r="692" spans="1:14">
      <c r="A692" t="s">
        <v>453</v>
      </c>
      <c r="B692">
        <v>1</v>
      </c>
      <c r="C692" t="s">
        <v>1413</v>
      </c>
      <c r="D692" t="s">
        <v>20</v>
      </c>
      <c r="E692" t="s">
        <v>7</v>
      </c>
      <c r="F692" t="s">
        <v>227</v>
      </c>
      <c r="G692" t="s">
        <v>26</v>
      </c>
      <c r="H692">
        <v>0</v>
      </c>
      <c r="I692">
        <v>1</v>
      </c>
      <c r="M692" t="s">
        <v>453</v>
      </c>
    </row>
    <row r="693" spans="1:14">
      <c r="A693" t="s">
        <v>454</v>
      </c>
      <c r="B693">
        <v>1</v>
      </c>
      <c r="C693" t="s">
        <v>1413</v>
      </c>
      <c r="D693" t="s">
        <v>20</v>
      </c>
      <c r="E693" t="s">
        <v>7</v>
      </c>
      <c r="F693" t="s">
        <v>227</v>
      </c>
      <c r="G693" t="s">
        <v>26</v>
      </c>
      <c r="H693">
        <v>0</v>
      </c>
      <c r="I693">
        <v>1</v>
      </c>
      <c r="M693" t="s">
        <v>454</v>
      </c>
    </row>
    <row r="694" spans="1:14">
      <c r="A694" t="s">
        <v>455</v>
      </c>
      <c r="B694">
        <v>0</v>
      </c>
      <c r="C694" t="s">
        <v>1413</v>
      </c>
      <c r="D694" t="s">
        <v>20</v>
      </c>
      <c r="E694" t="s">
        <v>7</v>
      </c>
      <c r="F694" t="s">
        <v>227</v>
      </c>
      <c r="G694" t="s">
        <v>26</v>
      </c>
      <c r="H694">
        <v>0</v>
      </c>
      <c r="I694">
        <v>0</v>
      </c>
      <c r="M694" t="s">
        <v>455</v>
      </c>
    </row>
    <row r="695" spans="1:14">
      <c r="A695" t="s">
        <v>456</v>
      </c>
      <c r="B695">
        <v>1</v>
      </c>
      <c r="C695" t="s">
        <v>1413</v>
      </c>
      <c r="D695" t="s">
        <v>20</v>
      </c>
      <c r="E695" t="s">
        <v>7</v>
      </c>
      <c r="F695" t="s">
        <v>227</v>
      </c>
      <c r="G695" t="s">
        <v>26</v>
      </c>
      <c r="H695">
        <v>0</v>
      </c>
      <c r="I695">
        <v>1</v>
      </c>
      <c r="M695" t="s">
        <v>456</v>
      </c>
    </row>
    <row r="696" spans="1:14">
      <c r="A696" t="s">
        <v>457</v>
      </c>
      <c r="B696">
        <v>210</v>
      </c>
      <c r="C696" t="s">
        <v>1413</v>
      </c>
      <c r="D696" t="s">
        <v>20</v>
      </c>
      <c r="E696" t="s">
        <v>7</v>
      </c>
      <c r="F696" t="s">
        <v>227</v>
      </c>
      <c r="G696" t="s">
        <v>26</v>
      </c>
      <c r="H696">
        <v>0</v>
      </c>
      <c r="I696">
        <v>210</v>
      </c>
      <c r="M696" t="s">
        <v>457</v>
      </c>
    </row>
    <row r="697" spans="1:14">
      <c r="A697" t="s">
        <v>458</v>
      </c>
      <c r="B697">
        <v>53</v>
      </c>
      <c r="C697" t="s">
        <v>1413</v>
      </c>
      <c r="D697" t="s">
        <v>20</v>
      </c>
      <c r="E697" t="s">
        <v>7</v>
      </c>
      <c r="F697" t="s">
        <v>227</v>
      </c>
      <c r="G697" t="s">
        <v>26</v>
      </c>
      <c r="H697">
        <v>0</v>
      </c>
      <c r="I697">
        <v>53</v>
      </c>
      <c r="M697" t="s">
        <v>458</v>
      </c>
    </row>
    <row r="698" spans="1:14">
      <c r="A698" t="s">
        <v>459</v>
      </c>
      <c r="B698">
        <v>1</v>
      </c>
      <c r="C698" t="s">
        <v>1413</v>
      </c>
      <c r="D698" t="s">
        <v>20</v>
      </c>
      <c r="E698" t="s">
        <v>7</v>
      </c>
      <c r="F698" t="s">
        <v>227</v>
      </c>
      <c r="G698" t="s">
        <v>26</v>
      </c>
      <c r="H698">
        <v>0</v>
      </c>
      <c r="I698">
        <v>1</v>
      </c>
      <c r="M698" t="s">
        <v>459</v>
      </c>
    </row>
    <row r="699" spans="1:14">
      <c r="A699" t="s">
        <v>460</v>
      </c>
      <c r="B699">
        <v>8400</v>
      </c>
      <c r="C699" t="s">
        <v>1413</v>
      </c>
      <c r="D699" t="s">
        <v>20</v>
      </c>
      <c r="E699" t="s">
        <v>7</v>
      </c>
      <c r="F699" t="s">
        <v>227</v>
      </c>
      <c r="G699" t="s">
        <v>26</v>
      </c>
      <c r="H699">
        <v>0</v>
      </c>
      <c r="I699">
        <v>8400</v>
      </c>
      <c r="M699" t="s">
        <v>460</v>
      </c>
    </row>
    <row r="700" spans="1:14">
      <c r="A700" t="s">
        <v>1004</v>
      </c>
      <c r="B700">
        <v>250000</v>
      </c>
      <c r="C700" t="s">
        <v>171</v>
      </c>
      <c r="D700" t="s">
        <v>155</v>
      </c>
      <c r="E700" t="s">
        <v>119</v>
      </c>
      <c r="F700" t="s">
        <v>227</v>
      </c>
      <c r="G700" t="s">
        <v>26</v>
      </c>
      <c r="H700">
        <v>0</v>
      </c>
      <c r="I700">
        <v>250000</v>
      </c>
      <c r="L700" t="s">
        <v>1003</v>
      </c>
      <c r="M700" t="s">
        <v>1003</v>
      </c>
      <c r="N700" t="s">
        <v>1006</v>
      </c>
    </row>
    <row r="701" spans="1:14">
      <c r="A701" t="s">
        <v>293</v>
      </c>
      <c r="B701">
        <v>35000000</v>
      </c>
      <c r="C701" t="s">
        <v>171</v>
      </c>
      <c r="D701" t="s">
        <v>34</v>
      </c>
      <c r="E701" t="s">
        <v>38</v>
      </c>
      <c r="F701" t="s">
        <v>227</v>
      </c>
      <c r="G701" t="s">
        <v>26</v>
      </c>
      <c r="H701">
        <v>0</v>
      </c>
      <c r="I701">
        <v>35000000</v>
      </c>
      <c r="L701" t="s">
        <v>189</v>
      </c>
      <c r="M701" t="s">
        <v>189</v>
      </c>
      <c r="N701" t="s">
        <v>294</v>
      </c>
    </row>
    <row r="702" spans="1:14">
      <c r="A702" t="s">
        <v>1253</v>
      </c>
      <c r="B702">
        <v>9520000</v>
      </c>
      <c r="C702" t="s">
        <v>171</v>
      </c>
      <c r="D702" t="s">
        <v>169</v>
      </c>
      <c r="E702" t="s">
        <v>35</v>
      </c>
      <c r="F702" t="s">
        <v>227</v>
      </c>
      <c r="G702" t="s">
        <v>26</v>
      </c>
      <c r="H702">
        <v>0</v>
      </c>
      <c r="I702">
        <v>9520000</v>
      </c>
      <c r="L702" t="s">
        <v>1254</v>
      </c>
      <c r="M702" t="s">
        <v>1254</v>
      </c>
      <c r="N702" t="s">
        <v>332</v>
      </c>
    </row>
    <row r="703" spans="1:14">
      <c r="A703" t="s">
        <v>300</v>
      </c>
      <c r="B703">
        <v>34100000</v>
      </c>
      <c r="C703" t="s">
        <v>171</v>
      </c>
      <c r="D703" t="s">
        <v>20</v>
      </c>
      <c r="E703" t="s">
        <v>35</v>
      </c>
      <c r="F703" t="s">
        <v>227</v>
      </c>
      <c r="G703" t="s">
        <v>26</v>
      </c>
      <c r="H703">
        <v>0</v>
      </c>
      <c r="I703">
        <v>34100000</v>
      </c>
      <c r="L703" t="s">
        <v>302</v>
      </c>
      <c r="M703" t="s">
        <v>1260</v>
      </c>
      <c r="N703" t="s">
        <v>303</v>
      </c>
    </row>
    <row r="705" spans="1:14">
      <c r="A705" s="1" t="s">
        <v>0</v>
      </c>
      <c r="B705" s="1" t="s">
        <v>461</v>
      </c>
    </row>
    <row r="706" spans="1:14">
      <c r="A706" t="s">
        <v>13</v>
      </c>
      <c r="B706" t="s">
        <v>328</v>
      </c>
    </row>
    <row r="707" spans="1:14">
      <c r="A707" t="s">
        <v>1</v>
      </c>
      <c r="B707" t="s">
        <v>155</v>
      </c>
    </row>
    <row r="708" spans="1:14">
      <c r="A708" t="s">
        <v>2</v>
      </c>
      <c r="B708">
        <v>1</v>
      </c>
    </row>
    <row r="709" spans="1:14">
      <c r="A709" t="s">
        <v>3</v>
      </c>
      <c r="B709" t="s">
        <v>461</v>
      </c>
    </row>
    <row r="710" spans="1:14">
      <c r="A710" t="s">
        <v>5</v>
      </c>
      <c r="B710" t="s">
        <v>6</v>
      </c>
    </row>
    <row r="711" spans="1:14">
      <c r="A711" t="s">
        <v>7</v>
      </c>
      <c r="B711" t="s">
        <v>7</v>
      </c>
    </row>
    <row r="712" spans="1:14">
      <c r="A712" s="1" t="s">
        <v>14</v>
      </c>
    </row>
    <row r="713" spans="1:14">
      <c r="A713" t="s">
        <v>15</v>
      </c>
      <c r="B713" t="s">
        <v>16</v>
      </c>
      <c r="C713" t="s">
        <v>17</v>
      </c>
      <c r="D713" t="s">
        <v>1</v>
      </c>
      <c r="E713" t="s">
        <v>7</v>
      </c>
      <c r="F713" t="s">
        <v>18</v>
      </c>
      <c r="G713" t="s">
        <v>5</v>
      </c>
      <c r="H713" t="s">
        <v>203</v>
      </c>
      <c r="I713" t="s">
        <v>204</v>
      </c>
      <c r="J713" t="s">
        <v>206</v>
      </c>
      <c r="K713" t="s">
        <v>13</v>
      </c>
      <c r="L713" t="s">
        <v>208</v>
      </c>
      <c r="M713" t="s">
        <v>3</v>
      </c>
      <c r="N713" t="s">
        <v>209</v>
      </c>
    </row>
    <row r="714" spans="1:14">
      <c r="A714" t="s">
        <v>461</v>
      </c>
      <c r="B714">
        <v>1</v>
      </c>
      <c r="C714" t="s">
        <v>1413</v>
      </c>
      <c r="D714" t="s">
        <v>155</v>
      </c>
      <c r="E714" t="s">
        <v>7</v>
      </c>
      <c r="F714" t="s">
        <v>224</v>
      </c>
      <c r="G714" t="s">
        <v>24</v>
      </c>
      <c r="J714">
        <v>100</v>
      </c>
      <c r="M714" t="s">
        <v>461</v>
      </c>
    </row>
    <row r="715" spans="1:14">
      <c r="A715" t="s">
        <v>145</v>
      </c>
      <c r="B715">
        <v>31600</v>
      </c>
      <c r="C715" t="s">
        <v>171</v>
      </c>
      <c r="D715" t="s">
        <v>34</v>
      </c>
      <c r="E715" t="s">
        <v>38</v>
      </c>
      <c r="F715" t="s">
        <v>227</v>
      </c>
      <c r="G715" t="s">
        <v>26</v>
      </c>
      <c r="H715">
        <v>0</v>
      </c>
      <c r="I715">
        <v>31600</v>
      </c>
      <c r="L715" t="s">
        <v>146</v>
      </c>
      <c r="M715" t="s">
        <v>146</v>
      </c>
      <c r="N715" t="s">
        <v>341</v>
      </c>
    </row>
    <row r="716" spans="1:14">
      <c r="A716" t="s">
        <v>342</v>
      </c>
      <c r="B716">
        <v>3510</v>
      </c>
      <c r="C716" t="s">
        <v>171</v>
      </c>
      <c r="D716" t="s">
        <v>34</v>
      </c>
      <c r="E716" t="s">
        <v>38</v>
      </c>
      <c r="F716" t="s">
        <v>227</v>
      </c>
      <c r="G716" t="s">
        <v>26</v>
      </c>
      <c r="H716">
        <v>0</v>
      </c>
      <c r="I716">
        <v>3510</v>
      </c>
      <c r="L716" t="s">
        <v>343</v>
      </c>
      <c r="M716" t="s">
        <v>343</v>
      </c>
      <c r="N716" t="s">
        <v>344</v>
      </c>
    </row>
    <row r="717" spans="1:14">
      <c r="A717" t="s">
        <v>139</v>
      </c>
      <c r="B717">
        <v>35100</v>
      </c>
      <c r="C717" t="s">
        <v>171</v>
      </c>
      <c r="D717" t="s">
        <v>34</v>
      </c>
      <c r="E717" t="s">
        <v>38</v>
      </c>
      <c r="F717" t="s">
        <v>227</v>
      </c>
      <c r="G717" t="s">
        <v>26</v>
      </c>
      <c r="H717">
        <v>0</v>
      </c>
      <c r="I717">
        <v>35100</v>
      </c>
      <c r="L717" t="s">
        <v>140</v>
      </c>
      <c r="M717" t="s">
        <v>140</v>
      </c>
      <c r="N717" t="s">
        <v>345</v>
      </c>
    </row>
    <row r="718" spans="1:14">
      <c r="A718" t="s">
        <v>1253</v>
      </c>
      <c r="B718">
        <v>23100</v>
      </c>
      <c r="C718" t="s">
        <v>171</v>
      </c>
      <c r="D718" t="s">
        <v>155</v>
      </c>
      <c r="E718" t="s">
        <v>35</v>
      </c>
      <c r="F718" t="s">
        <v>227</v>
      </c>
      <c r="G718" t="s">
        <v>26</v>
      </c>
      <c r="H718">
        <v>0</v>
      </c>
      <c r="I718">
        <v>23100</v>
      </c>
      <c r="L718" t="s">
        <v>1254</v>
      </c>
      <c r="M718" t="s">
        <v>1254</v>
      </c>
      <c r="N718" t="s">
        <v>332</v>
      </c>
    </row>
    <row r="719" spans="1:14">
      <c r="A719" t="s">
        <v>300</v>
      </c>
      <c r="B719">
        <v>1930</v>
      </c>
      <c r="C719" t="s">
        <v>171</v>
      </c>
      <c r="D719" t="s">
        <v>20</v>
      </c>
      <c r="E719" t="s">
        <v>35</v>
      </c>
      <c r="F719" t="s">
        <v>227</v>
      </c>
      <c r="G719" t="s">
        <v>26</v>
      </c>
      <c r="H719">
        <v>0</v>
      </c>
      <c r="I719">
        <v>1930</v>
      </c>
      <c r="L719" t="s">
        <v>302</v>
      </c>
      <c r="M719" t="s">
        <v>1260</v>
      </c>
      <c r="N719" t="s">
        <v>303</v>
      </c>
    </row>
    <row r="721" spans="1:14">
      <c r="A721" s="1" t="s">
        <v>0</v>
      </c>
      <c r="B721" s="1" t="s">
        <v>461</v>
      </c>
    </row>
    <row r="722" spans="1:14">
      <c r="A722" t="s">
        <v>13</v>
      </c>
      <c r="B722" t="s">
        <v>328</v>
      </c>
    </row>
    <row r="723" spans="1:14">
      <c r="A723" t="s">
        <v>1</v>
      </c>
      <c r="B723" t="s">
        <v>20</v>
      </c>
    </row>
    <row r="724" spans="1:14">
      <c r="A724" t="s">
        <v>2</v>
      </c>
      <c r="B724">
        <v>1</v>
      </c>
    </row>
    <row r="725" spans="1:14">
      <c r="A725" t="s">
        <v>3</v>
      </c>
      <c r="B725" t="s">
        <v>461</v>
      </c>
    </row>
    <row r="726" spans="1:14">
      <c r="A726" t="s">
        <v>5</v>
      </c>
      <c r="B726" t="s">
        <v>6</v>
      </c>
    </row>
    <row r="727" spans="1:14">
      <c r="A727" t="s">
        <v>7</v>
      </c>
      <c r="B727" t="s">
        <v>7</v>
      </c>
    </row>
    <row r="728" spans="1:14">
      <c r="A728" s="1" t="s">
        <v>14</v>
      </c>
    </row>
    <row r="729" spans="1:14">
      <c r="A729" t="s">
        <v>15</v>
      </c>
      <c r="B729" t="s">
        <v>16</v>
      </c>
      <c r="C729" t="s">
        <v>17</v>
      </c>
      <c r="D729" t="s">
        <v>1</v>
      </c>
      <c r="E729" t="s">
        <v>7</v>
      </c>
      <c r="F729" t="s">
        <v>18</v>
      </c>
      <c r="G729" t="s">
        <v>5</v>
      </c>
      <c r="H729" t="s">
        <v>203</v>
      </c>
      <c r="I729" t="s">
        <v>204</v>
      </c>
      <c r="J729" t="s">
        <v>206</v>
      </c>
      <c r="K729" t="s">
        <v>13</v>
      </c>
      <c r="L729" t="s">
        <v>208</v>
      </c>
      <c r="M729" t="s">
        <v>3</v>
      </c>
      <c r="N729" t="s">
        <v>209</v>
      </c>
    </row>
    <row r="730" spans="1:14">
      <c r="A730" t="s">
        <v>461</v>
      </c>
      <c r="B730">
        <v>1</v>
      </c>
      <c r="C730" t="s">
        <v>1413</v>
      </c>
      <c r="D730" t="s">
        <v>20</v>
      </c>
      <c r="E730" t="s">
        <v>7</v>
      </c>
      <c r="F730" t="s">
        <v>224</v>
      </c>
      <c r="G730" t="s">
        <v>24</v>
      </c>
      <c r="J730">
        <v>100</v>
      </c>
      <c r="M730" t="s">
        <v>461</v>
      </c>
    </row>
    <row r="731" spans="1:14">
      <c r="A731" t="s">
        <v>145</v>
      </c>
      <c r="B731">
        <v>31600</v>
      </c>
      <c r="C731" t="s">
        <v>171</v>
      </c>
      <c r="D731" t="s">
        <v>34</v>
      </c>
      <c r="E731" t="s">
        <v>38</v>
      </c>
      <c r="F731" t="s">
        <v>227</v>
      </c>
      <c r="G731" t="s">
        <v>26</v>
      </c>
      <c r="H731">
        <v>0</v>
      </c>
      <c r="I731">
        <v>31600</v>
      </c>
      <c r="L731" t="s">
        <v>146</v>
      </c>
      <c r="M731" t="s">
        <v>146</v>
      </c>
      <c r="N731" t="s">
        <v>341</v>
      </c>
    </row>
    <row r="732" spans="1:14">
      <c r="A732" t="s">
        <v>342</v>
      </c>
      <c r="B732">
        <v>3510</v>
      </c>
      <c r="C732" t="s">
        <v>171</v>
      </c>
      <c r="D732" t="s">
        <v>34</v>
      </c>
      <c r="E732" t="s">
        <v>38</v>
      </c>
      <c r="F732" t="s">
        <v>227</v>
      </c>
      <c r="G732" t="s">
        <v>26</v>
      </c>
      <c r="H732">
        <v>0</v>
      </c>
      <c r="I732">
        <v>3510</v>
      </c>
      <c r="L732" t="s">
        <v>343</v>
      </c>
      <c r="M732" t="s">
        <v>343</v>
      </c>
      <c r="N732" t="s">
        <v>344</v>
      </c>
    </row>
    <row r="733" spans="1:14">
      <c r="A733" t="s">
        <v>139</v>
      </c>
      <c r="B733">
        <v>35100</v>
      </c>
      <c r="C733" t="s">
        <v>171</v>
      </c>
      <c r="D733" t="s">
        <v>34</v>
      </c>
      <c r="E733" t="s">
        <v>38</v>
      </c>
      <c r="F733" t="s">
        <v>227</v>
      </c>
      <c r="G733" t="s">
        <v>26</v>
      </c>
      <c r="H733">
        <v>0</v>
      </c>
      <c r="I733">
        <v>35100</v>
      </c>
      <c r="L733" t="s">
        <v>140</v>
      </c>
      <c r="M733" t="s">
        <v>140</v>
      </c>
      <c r="N733" t="s">
        <v>345</v>
      </c>
    </row>
    <row r="734" spans="1:14">
      <c r="A734" t="s">
        <v>1253</v>
      </c>
      <c r="B734">
        <v>7710</v>
      </c>
      <c r="C734" t="s">
        <v>171</v>
      </c>
      <c r="D734" t="s">
        <v>169</v>
      </c>
      <c r="E734" t="s">
        <v>35</v>
      </c>
      <c r="F734" t="s">
        <v>227</v>
      </c>
      <c r="G734" t="s">
        <v>26</v>
      </c>
      <c r="H734">
        <v>0</v>
      </c>
      <c r="I734">
        <v>7710</v>
      </c>
      <c r="L734" t="s">
        <v>1254</v>
      </c>
      <c r="M734" t="s">
        <v>1254</v>
      </c>
      <c r="N734" t="s">
        <v>332</v>
      </c>
    </row>
    <row r="735" spans="1:14">
      <c r="A735" t="s">
        <v>300</v>
      </c>
      <c r="B735">
        <v>3860</v>
      </c>
      <c r="C735" t="s">
        <v>171</v>
      </c>
      <c r="D735" t="s">
        <v>20</v>
      </c>
      <c r="E735" t="s">
        <v>35</v>
      </c>
      <c r="F735" t="s">
        <v>227</v>
      </c>
      <c r="G735" t="s">
        <v>26</v>
      </c>
      <c r="H735">
        <v>0</v>
      </c>
      <c r="I735">
        <v>3860</v>
      </c>
      <c r="L735" t="s">
        <v>302</v>
      </c>
      <c r="M735" t="s">
        <v>1260</v>
      </c>
      <c r="N735" t="s">
        <v>303</v>
      </c>
    </row>
    <row r="737" spans="1:14">
      <c r="A737" s="1" t="s">
        <v>0</v>
      </c>
      <c r="B737" s="1" t="s">
        <v>462</v>
      </c>
    </row>
    <row r="738" spans="1:14">
      <c r="A738" t="s">
        <v>13</v>
      </c>
      <c r="B738" t="s">
        <v>328</v>
      </c>
    </row>
    <row r="739" spans="1:14">
      <c r="A739" t="s">
        <v>1</v>
      </c>
      <c r="B739" t="s">
        <v>20</v>
      </c>
    </row>
    <row r="740" spans="1:14">
      <c r="A740" t="s">
        <v>2</v>
      </c>
      <c r="B740">
        <v>1</v>
      </c>
    </row>
    <row r="741" spans="1:14">
      <c r="A741" t="s">
        <v>3</v>
      </c>
      <c r="B741" t="s">
        <v>462</v>
      </c>
    </row>
    <row r="742" spans="1:14">
      <c r="A742" t="s">
        <v>5</v>
      </c>
      <c r="B742" t="s">
        <v>6</v>
      </c>
    </row>
    <row r="743" spans="1:14">
      <c r="A743" t="s">
        <v>7</v>
      </c>
      <c r="B743" t="s">
        <v>7</v>
      </c>
    </row>
    <row r="744" spans="1:14">
      <c r="A744" s="1" t="s">
        <v>14</v>
      </c>
    </row>
    <row r="745" spans="1:14">
      <c r="A745" t="s">
        <v>15</v>
      </c>
      <c r="B745" t="s">
        <v>16</v>
      </c>
      <c r="C745" t="s">
        <v>17</v>
      </c>
      <c r="D745" t="s">
        <v>1</v>
      </c>
      <c r="E745" t="s">
        <v>7</v>
      </c>
      <c r="F745" t="s">
        <v>18</v>
      </c>
      <c r="G745" t="s">
        <v>5</v>
      </c>
      <c r="H745" t="s">
        <v>203</v>
      </c>
      <c r="I745" t="s">
        <v>204</v>
      </c>
      <c r="J745" t="s">
        <v>206</v>
      </c>
      <c r="K745" t="s">
        <v>13</v>
      </c>
      <c r="L745" t="s">
        <v>208</v>
      </c>
      <c r="M745" t="s">
        <v>3</v>
      </c>
      <c r="N745" t="s">
        <v>209</v>
      </c>
    </row>
    <row r="746" spans="1:14">
      <c r="A746" t="s">
        <v>462</v>
      </c>
      <c r="B746">
        <v>1</v>
      </c>
      <c r="C746" t="s">
        <v>1413</v>
      </c>
      <c r="D746" t="s">
        <v>20</v>
      </c>
      <c r="E746" t="s">
        <v>7</v>
      </c>
      <c r="F746" t="s">
        <v>224</v>
      </c>
      <c r="G746" t="s">
        <v>24</v>
      </c>
      <c r="J746">
        <v>100</v>
      </c>
      <c r="M746" t="s">
        <v>462</v>
      </c>
    </row>
    <row r="747" spans="1:14">
      <c r="A747" t="s">
        <v>67</v>
      </c>
      <c r="B747">
        <v>40000</v>
      </c>
      <c r="C747" t="s">
        <v>171</v>
      </c>
      <c r="D747" t="s">
        <v>34</v>
      </c>
      <c r="E747" t="s">
        <v>38</v>
      </c>
      <c r="F747" t="s">
        <v>227</v>
      </c>
      <c r="G747" t="s">
        <v>26</v>
      </c>
      <c r="H747">
        <v>0</v>
      </c>
      <c r="I747">
        <v>40000</v>
      </c>
      <c r="L747" t="s">
        <v>68</v>
      </c>
      <c r="M747" t="s">
        <v>68</v>
      </c>
      <c r="N747" t="s">
        <v>330</v>
      </c>
    </row>
    <row r="748" spans="1:14">
      <c r="A748" t="s">
        <v>145</v>
      </c>
      <c r="B748">
        <v>3960000</v>
      </c>
      <c r="C748" t="s">
        <v>171</v>
      </c>
      <c r="D748" t="s">
        <v>34</v>
      </c>
      <c r="E748" t="s">
        <v>38</v>
      </c>
      <c r="F748" t="s">
        <v>227</v>
      </c>
      <c r="G748" t="s">
        <v>26</v>
      </c>
      <c r="H748">
        <v>0</v>
      </c>
      <c r="I748">
        <v>3960000</v>
      </c>
      <c r="L748" t="s">
        <v>146</v>
      </c>
      <c r="M748" t="s">
        <v>146</v>
      </c>
      <c r="N748" t="s">
        <v>341</v>
      </c>
    </row>
    <row r="749" spans="1:14">
      <c r="A749" t="s">
        <v>139</v>
      </c>
      <c r="B749">
        <v>3960000</v>
      </c>
      <c r="C749" t="s">
        <v>171</v>
      </c>
      <c r="D749" t="s">
        <v>34</v>
      </c>
      <c r="E749" t="s">
        <v>38</v>
      </c>
      <c r="F749" t="s">
        <v>227</v>
      </c>
      <c r="G749" t="s">
        <v>26</v>
      </c>
      <c r="H749">
        <v>0</v>
      </c>
      <c r="I749">
        <v>3960000</v>
      </c>
      <c r="L749" t="s">
        <v>140</v>
      </c>
      <c r="M749" t="s">
        <v>140</v>
      </c>
      <c r="N749" t="s">
        <v>345</v>
      </c>
    </row>
    <row r="750" spans="1:14">
      <c r="A750" t="s">
        <v>1253</v>
      </c>
      <c r="B750">
        <v>880000</v>
      </c>
      <c r="C750" t="s">
        <v>171</v>
      </c>
      <c r="D750" t="s">
        <v>169</v>
      </c>
      <c r="E750" t="s">
        <v>35</v>
      </c>
      <c r="F750" t="s">
        <v>227</v>
      </c>
      <c r="G750" t="s">
        <v>26</v>
      </c>
      <c r="H750">
        <v>0</v>
      </c>
      <c r="I750">
        <v>880000</v>
      </c>
      <c r="L750" t="s">
        <v>1254</v>
      </c>
      <c r="M750" t="s">
        <v>1254</v>
      </c>
      <c r="N750" t="s">
        <v>332</v>
      </c>
    </row>
    <row r="751" spans="1:14">
      <c r="A751" t="s">
        <v>300</v>
      </c>
      <c r="B751">
        <v>440000</v>
      </c>
      <c r="C751" t="s">
        <v>171</v>
      </c>
      <c r="D751" t="s">
        <v>20</v>
      </c>
      <c r="E751" t="s">
        <v>35</v>
      </c>
      <c r="F751" t="s">
        <v>227</v>
      </c>
      <c r="G751" t="s">
        <v>26</v>
      </c>
      <c r="H751">
        <v>0</v>
      </c>
      <c r="I751">
        <v>440000</v>
      </c>
      <c r="L751" t="s">
        <v>302</v>
      </c>
      <c r="M751" t="s">
        <v>1260</v>
      </c>
      <c r="N751" t="s">
        <v>303</v>
      </c>
    </row>
    <row r="752" spans="1:14">
      <c r="A752" t="s">
        <v>193</v>
      </c>
      <c r="B752">
        <v>40000</v>
      </c>
      <c r="C752" t="s">
        <v>171</v>
      </c>
      <c r="D752" t="s">
        <v>20</v>
      </c>
      <c r="E752" t="s">
        <v>38</v>
      </c>
      <c r="F752" t="s">
        <v>227</v>
      </c>
      <c r="G752" t="s">
        <v>26</v>
      </c>
      <c r="H752">
        <v>0</v>
      </c>
      <c r="I752">
        <v>40000</v>
      </c>
      <c r="M752" t="s">
        <v>193</v>
      </c>
      <c r="N752" t="s">
        <v>336</v>
      </c>
    </row>
    <row r="754" spans="1:14">
      <c r="A754" s="1" t="s">
        <v>0</v>
      </c>
      <c r="B754" s="1" t="s">
        <v>452</v>
      </c>
    </row>
    <row r="755" spans="1:14">
      <c r="A755" t="s">
        <v>13</v>
      </c>
      <c r="B755" t="s">
        <v>328</v>
      </c>
    </row>
    <row r="756" spans="1:14">
      <c r="A756" t="s">
        <v>1</v>
      </c>
      <c r="B756" t="s">
        <v>20</v>
      </c>
    </row>
    <row r="757" spans="1:14">
      <c r="A757" t="s">
        <v>2</v>
      </c>
      <c r="B757">
        <v>1</v>
      </c>
    </row>
    <row r="758" spans="1:14">
      <c r="A758" t="s">
        <v>3</v>
      </c>
      <c r="B758" t="s">
        <v>452</v>
      </c>
    </row>
    <row r="759" spans="1:14">
      <c r="A759" t="s">
        <v>5</v>
      </c>
      <c r="B759" t="s">
        <v>6</v>
      </c>
    </row>
    <row r="760" spans="1:14">
      <c r="A760" t="s">
        <v>7</v>
      </c>
      <c r="B760" t="s">
        <v>7</v>
      </c>
    </row>
    <row r="761" spans="1:14">
      <c r="A761" s="1" t="s">
        <v>14</v>
      </c>
    </row>
    <row r="762" spans="1:14">
      <c r="A762" t="s">
        <v>15</v>
      </c>
      <c r="B762" t="s">
        <v>16</v>
      </c>
      <c r="C762" t="s">
        <v>17</v>
      </c>
      <c r="D762" t="s">
        <v>1</v>
      </c>
      <c r="E762" t="s">
        <v>7</v>
      </c>
      <c r="F762" t="s">
        <v>18</v>
      </c>
      <c r="G762" t="s">
        <v>5</v>
      </c>
      <c r="H762" t="s">
        <v>203</v>
      </c>
      <c r="I762" t="s">
        <v>204</v>
      </c>
      <c r="J762" t="s">
        <v>206</v>
      </c>
      <c r="K762" t="s">
        <v>13</v>
      </c>
      <c r="L762" t="s">
        <v>208</v>
      </c>
      <c r="M762" t="s">
        <v>3</v>
      </c>
      <c r="N762" t="s">
        <v>209</v>
      </c>
    </row>
    <row r="763" spans="1:14">
      <c r="A763" t="s">
        <v>452</v>
      </c>
      <c r="B763">
        <v>1</v>
      </c>
      <c r="C763" t="s">
        <v>1413</v>
      </c>
      <c r="D763" t="s">
        <v>20</v>
      </c>
      <c r="E763" t="s">
        <v>7</v>
      </c>
      <c r="F763" t="s">
        <v>224</v>
      </c>
      <c r="G763" t="s">
        <v>24</v>
      </c>
      <c r="J763">
        <v>100</v>
      </c>
      <c r="M763" t="s">
        <v>452</v>
      </c>
    </row>
    <row r="764" spans="1:14">
      <c r="A764" t="s">
        <v>342</v>
      </c>
      <c r="B764">
        <v>1500000</v>
      </c>
      <c r="C764" t="s">
        <v>171</v>
      </c>
      <c r="D764" t="s">
        <v>34</v>
      </c>
      <c r="E764" t="s">
        <v>38</v>
      </c>
      <c r="F764" t="s">
        <v>227</v>
      </c>
      <c r="G764" t="s">
        <v>26</v>
      </c>
      <c r="H764">
        <v>0</v>
      </c>
      <c r="I764">
        <v>1500000</v>
      </c>
      <c r="L764" t="s">
        <v>343</v>
      </c>
      <c r="M764" t="s">
        <v>343</v>
      </c>
      <c r="N764" t="s">
        <v>344</v>
      </c>
    </row>
    <row r="765" spans="1:14">
      <c r="A765" t="s">
        <v>139</v>
      </c>
      <c r="B765">
        <v>1500000</v>
      </c>
      <c r="C765" t="s">
        <v>171</v>
      </c>
      <c r="D765" t="s">
        <v>34</v>
      </c>
      <c r="E765" t="s">
        <v>38</v>
      </c>
      <c r="F765" t="s">
        <v>227</v>
      </c>
      <c r="G765" t="s">
        <v>26</v>
      </c>
      <c r="H765">
        <v>0</v>
      </c>
      <c r="I765">
        <v>1500000</v>
      </c>
      <c r="L765" t="s">
        <v>140</v>
      </c>
      <c r="M765" t="s">
        <v>140</v>
      </c>
      <c r="N765" t="s">
        <v>345</v>
      </c>
    </row>
    <row r="766" spans="1:14">
      <c r="A766" t="s">
        <v>1253</v>
      </c>
      <c r="B766">
        <v>330000</v>
      </c>
      <c r="C766" t="s">
        <v>171</v>
      </c>
      <c r="D766" t="s">
        <v>169</v>
      </c>
      <c r="E766" t="s">
        <v>35</v>
      </c>
      <c r="F766" t="s">
        <v>227</v>
      </c>
      <c r="G766" t="s">
        <v>26</v>
      </c>
      <c r="H766">
        <v>0</v>
      </c>
      <c r="I766">
        <v>330000</v>
      </c>
      <c r="L766" t="s">
        <v>1254</v>
      </c>
      <c r="M766" t="s">
        <v>1254</v>
      </c>
      <c r="N766" t="s">
        <v>332</v>
      </c>
    </row>
    <row r="767" spans="1:14">
      <c r="A767" t="s">
        <v>300</v>
      </c>
      <c r="B767">
        <v>165000</v>
      </c>
      <c r="C767" t="s">
        <v>171</v>
      </c>
      <c r="D767" t="s">
        <v>20</v>
      </c>
      <c r="E767" t="s">
        <v>35</v>
      </c>
      <c r="F767" t="s">
        <v>227</v>
      </c>
      <c r="G767" t="s">
        <v>26</v>
      </c>
      <c r="H767">
        <v>0</v>
      </c>
      <c r="I767">
        <v>165000</v>
      </c>
      <c r="L767" t="s">
        <v>302</v>
      </c>
      <c r="M767" t="s">
        <v>1260</v>
      </c>
      <c r="N767" t="s">
        <v>303</v>
      </c>
    </row>
    <row r="769" spans="1:14">
      <c r="A769" s="1" t="s">
        <v>0</v>
      </c>
      <c r="B769" s="1" t="s">
        <v>463</v>
      </c>
    </row>
    <row r="770" spans="1:14">
      <c r="A770" t="s">
        <v>13</v>
      </c>
      <c r="B770" t="s">
        <v>328</v>
      </c>
    </row>
    <row r="771" spans="1:14">
      <c r="A771" t="s">
        <v>1</v>
      </c>
      <c r="B771" t="s">
        <v>20</v>
      </c>
    </row>
    <row r="772" spans="1:14">
      <c r="A772" t="s">
        <v>2</v>
      </c>
      <c r="B772">
        <v>1</v>
      </c>
    </row>
    <row r="773" spans="1:14">
      <c r="A773" t="s">
        <v>3</v>
      </c>
      <c r="B773" t="s">
        <v>463</v>
      </c>
    </row>
    <row r="774" spans="1:14">
      <c r="A774" t="s">
        <v>5</v>
      </c>
      <c r="B774" t="s">
        <v>6</v>
      </c>
    </row>
    <row r="775" spans="1:14">
      <c r="A775" t="s">
        <v>7</v>
      </c>
      <c r="B775" t="s">
        <v>7</v>
      </c>
    </row>
    <row r="776" spans="1:14">
      <c r="A776" s="1" t="s">
        <v>14</v>
      </c>
    </row>
    <row r="777" spans="1:14">
      <c r="A777" t="s">
        <v>15</v>
      </c>
      <c r="B777" t="s">
        <v>16</v>
      </c>
      <c r="C777" t="s">
        <v>17</v>
      </c>
      <c r="D777" t="s">
        <v>1</v>
      </c>
      <c r="E777" t="s">
        <v>7</v>
      </c>
      <c r="F777" t="s">
        <v>18</v>
      </c>
      <c r="G777" t="s">
        <v>5</v>
      </c>
      <c r="H777" t="s">
        <v>203</v>
      </c>
      <c r="I777" t="s">
        <v>204</v>
      </c>
      <c r="J777" t="s">
        <v>206</v>
      </c>
      <c r="K777" t="s">
        <v>13</v>
      </c>
      <c r="L777" t="s">
        <v>208</v>
      </c>
      <c r="M777" t="s">
        <v>3</v>
      </c>
      <c r="N777" t="s">
        <v>209</v>
      </c>
    </row>
    <row r="778" spans="1:14">
      <c r="A778" t="s">
        <v>463</v>
      </c>
      <c r="B778">
        <v>1</v>
      </c>
      <c r="C778" t="s">
        <v>1413</v>
      </c>
      <c r="D778" t="s">
        <v>20</v>
      </c>
      <c r="E778" t="s">
        <v>7</v>
      </c>
      <c r="F778" t="s">
        <v>224</v>
      </c>
      <c r="G778" t="s">
        <v>24</v>
      </c>
      <c r="J778">
        <v>100</v>
      </c>
      <c r="M778" t="s">
        <v>463</v>
      </c>
    </row>
    <row r="779" spans="1:14">
      <c r="A779" t="s">
        <v>342</v>
      </c>
      <c r="B779">
        <v>135000</v>
      </c>
      <c r="C779" t="s">
        <v>171</v>
      </c>
      <c r="D779" t="s">
        <v>34</v>
      </c>
      <c r="E779" t="s">
        <v>38</v>
      </c>
      <c r="F779" t="s">
        <v>227</v>
      </c>
      <c r="G779" t="s">
        <v>26</v>
      </c>
      <c r="H779">
        <v>0</v>
      </c>
      <c r="I779">
        <v>135000</v>
      </c>
      <c r="L779" t="s">
        <v>343</v>
      </c>
      <c r="M779" t="s">
        <v>343</v>
      </c>
      <c r="N779" t="s">
        <v>344</v>
      </c>
    </row>
    <row r="780" spans="1:14">
      <c r="A780" t="s">
        <v>139</v>
      </c>
      <c r="B780">
        <v>135000</v>
      </c>
      <c r="C780" t="s">
        <v>171</v>
      </c>
      <c r="D780" t="s">
        <v>34</v>
      </c>
      <c r="E780" t="s">
        <v>38</v>
      </c>
      <c r="F780" t="s">
        <v>227</v>
      </c>
      <c r="G780" t="s">
        <v>26</v>
      </c>
      <c r="H780">
        <v>0</v>
      </c>
      <c r="I780">
        <v>135000</v>
      </c>
      <c r="L780" t="s">
        <v>140</v>
      </c>
      <c r="M780" t="s">
        <v>140</v>
      </c>
      <c r="N780" t="s">
        <v>345</v>
      </c>
    </row>
    <row r="781" spans="1:14">
      <c r="A781" t="s">
        <v>1253</v>
      </c>
      <c r="B781">
        <v>29600</v>
      </c>
      <c r="C781" t="s">
        <v>171</v>
      </c>
      <c r="D781" t="s">
        <v>169</v>
      </c>
      <c r="E781" t="s">
        <v>35</v>
      </c>
      <c r="F781" t="s">
        <v>227</v>
      </c>
      <c r="G781" t="s">
        <v>26</v>
      </c>
      <c r="H781">
        <v>0</v>
      </c>
      <c r="I781">
        <v>29600</v>
      </c>
      <c r="L781" t="s">
        <v>1254</v>
      </c>
      <c r="M781" t="s">
        <v>1254</v>
      </c>
      <c r="N781" t="s">
        <v>332</v>
      </c>
    </row>
    <row r="782" spans="1:14">
      <c r="A782" t="s">
        <v>300</v>
      </c>
      <c r="B782">
        <v>14800</v>
      </c>
      <c r="C782" t="s">
        <v>171</v>
      </c>
      <c r="D782" t="s">
        <v>20</v>
      </c>
      <c r="E782" t="s">
        <v>35</v>
      </c>
      <c r="F782" t="s">
        <v>227</v>
      </c>
      <c r="G782" t="s">
        <v>26</v>
      </c>
      <c r="H782">
        <v>0</v>
      </c>
      <c r="I782">
        <v>14800</v>
      </c>
      <c r="L782" t="s">
        <v>302</v>
      </c>
      <c r="M782" t="s">
        <v>1260</v>
      </c>
      <c r="N782" t="s">
        <v>303</v>
      </c>
    </row>
    <row r="784" spans="1:14">
      <c r="A784" s="1" t="s">
        <v>0</v>
      </c>
      <c r="B784" s="1" t="s">
        <v>453</v>
      </c>
    </row>
    <row r="785" spans="1:14">
      <c r="A785" t="s">
        <v>13</v>
      </c>
      <c r="B785" t="s">
        <v>328</v>
      </c>
    </row>
    <row r="786" spans="1:14">
      <c r="A786" t="s">
        <v>1</v>
      </c>
      <c r="B786" t="s">
        <v>20</v>
      </c>
    </row>
    <row r="787" spans="1:14">
      <c r="A787" t="s">
        <v>2</v>
      </c>
      <c r="B787">
        <v>1</v>
      </c>
    </row>
    <row r="788" spans="1:14">
      <c r="A788" t="s">
        <v>3</v>
      </c>
      <c r="B788" t="s">
        <v>453</v>
      </c>
    </row>
    <row r="789" spans="1:14">
      <c r="A789" t="s">
        <v>5</v>
      </c>
      <c r="B789" t="s">
        <v>6</v>
      </c>
    </row>
    <row r="790" spans="1:14">
      <c r="A790" t="s">
        <v>7</v>
      </c>
      <c r="B790" t="s">
        <v>7</v>
      </c>
    </row>
    <row r="791" spans="1:14">
      <c r="A791" s="1" t="s">
        <v>14</v>
      </c>
    </row>
    <row r="792" spans="1:14">
      <c r="A792" t="s">
        <v>15</v>
      </c>
      <c r="B792" t="s">
        <v>16</v>
      </c>
      <c r="C792" t="s">
        <v>17</v>
      </c>
      <c r="D792" t="s">
        <v>1</v>
      </c>
      <c r="E792" t="s">
        <v>7</v>
      </c>
      <c r="F792" t="s">
        <v>18</v>
      </c>
      <c r="G792" t="s">
        <v>5</v>
      </c>
      <c r="H792" t="s">
        <v>203</v>
      </c>
      <c r="I792" t="s">
        <v>204</v>
      </c>
      <c r="J792" t="s">
        <v>206</v>
      </c>
      <c r="K792" t="s">
        <v>13</v>
      </c>
      <c r="L792" t="s">
        <v>208</v>
      </c>
      <c r="M792" t="s">
        <v>3</v>
      </c>
      <c r="N792" t="s">
        <v>209</v>
      </c>
    </row>
    <row r="793" spans="1:14">
      <c r="A793" t="s">
        <v>453</v>
      </c>
      <c r="B793">
        <v>1</v>
      </c>
      <c r="C793" t="s">
        <v>1413</v>
      </c>
      <c r="D793" t="s">
        <v>20</v>
      </c>
      <c r="E793" t="s">
        <v>7</v>
      </c>
      <c r="F793" t="s">
        <v>224</v>
      </c>
      <c r="G793" t="s">
        <v>24</v>
      </c>
      <c r="J793">
        <v>100</v>
      </c>
      <c r="M793" t="s">
        <v>453</v>
      </c>
    </row>
    <row r="794" spans="1:14">
      <c r="A794" t="s">
        <v>342</v>
      </c>
      <c r="B794">
        <v>800000</v>
      </c>
      <c r="C794" t="s">
        <v>171</v>
      </c>
      <c r="D794" t="s">
        <v>34</v>
      </c>
      <c r="E794" t="s">
        <v>38</v>
      </c>
      <c r="F794" t="s">
        <v>227</v>
      </c>
      <c r="G794" t="s">
        <v>26</v>
      </c>
      <c r="H794">
        <v>0</v>
      </c>
      <c r="I794">
        <v>800000</v>
      </c>
      <c r="L794" t="s">
        <v>343</v>
      </c>
      <c r="M794" t="s">
        <v>343</v>
      </c>
      <c r="N794" t="s">
        <v>344</v>
      </c>
    </row>
    <row r="795" spans="1:14">
      <c r="A795" t="s">
        <v>139</v>
      </c>
      <c r="B795">
        <v>40000</v>
      </c>
      <c r="C795" t="s">
        <v>171</v>
      </c>
      <c r="D795" t="s">
        <v>34</v>
      </c>
      <c r="E795" t="s">
        <v>38</v>
      </c>
      <c r="F795" t="s">
        <v>227</v>
      </c>
      <c r="G795" t="s">
        <v>26</v>
      </c>
      <c r="H795">
        <v>0</v>
      </c>
      <c r="I795">
        <v>40000</v>
      </c>
      <c r="L795" t="s">
        <v>140</v>
      </c>
      <c r="M795" t="s">
        <v>140</v>
      </c>
      <c r="N795" t="s">
        <v>345</v>
      </c>
    </row>
    <row r="796" spans="1:14">
      <c r="A796" t="s">
        <v>39</v>
      </c>
      <c r="B796">
        <v>760000</v>
      </c>
      <c r="C796" t="s">
        <v>171</v>
      </c>
      <c r="D796" t="s">
        <v>34</v>
      </c>
      <c r="E796" t="s">
        <v>38</v>
      </c>
      <c r="F796" t="s">
        <v>227</v>
      </c>
      <c r="G796" t="s">
        <v>26</v>
      </c>
      <c r="H796">
        <v>0</v>
      </c>
      <c r="I796">
        <v>760000</v>
      </c>
      <c r="L796" t="s">
        <v>40</v>
      </c>
      <c r="M796" t="s">
        <v>40</v>
      </c>
      <c r="N796" t="s">
        <v>299</v>
      </c>
    </row>
    <row r="797" spans="1:14">
      <c r="A797" t="s">
        <v>1253</v>
      </c>
      <c r="B797">
        <v>176000</v>
      </c>
      <c r="C797" t="s">
        <v>171</v>
      </c>
      <c r="D797" t="s">
        <v>169</v>
      </c>
      <c r="E797" t="s">
        <v>35</v>
      </c>
      <c r="F797" t="s">
        <v>227</v>
      </c>
      <c r="G797" t="s">
        <v>26</v>
      </c>
      <c r="H797">
        <v>0</v>
      </c>
      <c r="I797">
        <v>176000</v>
      </c>
      <c r="L797" t="s">
        <v>1254</v>
      </c>
      <c r="M797" t="s">
        <v>1254</v>
      </c>
      <c r="N797" t="s">
        <v>332</v>
      </c>
    </row>
    <row r="798" spans="1:14">
      <c r="A798" t="s">
        <v>300</v>
      </c>
      <c r="B798">
        <v>88000</v>
      </c>
      <c r="C798" t="s">
        <v>171</v>
      </c>
      <c r="D798" t="s">
        <v>20</v>
      </c>
      <c r="E798" t="s">
        <v>35</v>
      </c>
      <c r="F798" t="s">
        <v>227</v>
      </c>
      <c r="G798" t="s">
        <v>26</v>
      </c>
      <c r="H798">
        <v>0</v>
      </c>
      <c r="I798">
        <v>88000</v>
      </c>
      <c r="L798" t="s">
        <v>302</v>
      </c>
      <c r="M798" t="s">
        <v>1260</v>
      </c>
      <c r="N798" t="s">
        <v>303</v>
      </c>
    </row>
    <row r="800" spans="1:14">
      <c r="A800" s="1" t="s">
        <v>0</v>
      </c>
      <c r="B800" s="1" t="s">
        <v>464</v>
      </c>
    </row>
    <row r="801" spans="1:14">
      <c r="A801" t="s">
        <v>13</v>
      </c>
      <c r="B801" t="s">
        <v>328</v>
      </c>
    </row>
    <row r="802" spans="1:14">
      <c r="A802" t="s">
        <v>1</v>
      </c>
      <c r="B802" t="s">
        <v>20</v>
      </c>
    </row>
    <row r="803" spans="1:14">
      <c r="A803" t="s">
        <v>2</v>
      </c>
      <c r="B803">
        <v>1</v>
      </c>
    </row>
    <row r="804" spans="1:14">
      <c r="A804" t="s">
        <v>3</v>
      </c>
      <c r="B804" t="s">
        <v>464</v>
      </c>
    </row>
    <row r="805" spans="1:14">
      <c r="A805" t="s">
        <v>5</v>
      </c>
      <c r="B805" t="s">
        <v>6</v>
      </c>
    </row>
    <row r="806" spans="1:14">
      <c r="A806" t="s">
        <v>7</v>
      </c>
      <c r="B806" t="s">
        <v>7</v>
      </c>
    </row>
    <row r="807" spans="1:14">
      <c r="A807" s="1" t="s">
        <v>14</v>
      </c>
    </row>
    <row r="808" spans="1:14">
      <c r="A808" t="s">
        <v>15</v>
      </c>
      <c r="B808" t="s">
        <v>16</v>
      </c>
      <c r="C808" t="s">
        <v>17</v>
      </c>
      <c r="D808" t="s">
        <v>1</v>
      </c>
      <c r="E808" t="s">
        <v>7</v>
      </c>
      <c r="F808" t="s">
        <v>18</v>
      </c>
      <c r="G808" t="s">
        <v>5</v>
      </c>
      <c r="H808" t="s">
        <v>203</v>
      </c>
      <c r="I808" t="s">
        <v>204</v>
      </c>
      <c r="J808" t="s">
        <v>206</v>
      </c>
      <c r="K808" t="s">
        <v>13</v>
      </c>
      <c r="L808" t="s">
        <v>208</v>
      </c>
      <c r="M808" t="s">
        <v>3</v>
      </c>
      <c r="N808" t="s">
        <v>209</v>
      </c>
    </row>
    <row r="809" spans="1:14">
      <c r="A809" t="s">
        <v>464</v>
      </c>
      <c r="B809">
        <v>1</v>
      </c>
      <c r="C809" t="s">
        <v>1413</v>
      </c>
      <c r="D809" t="s">
        <v>20</v>
      </c>
      <c r="E809" t="s">
        <v>7</v>
      </c>
      <c r="F809" t="s">
        <v>224</v>
      </c>
      <c r="G809" t="s">
        <v>24</v>
      </c>
      <c r="J809">
        <v>100</v>
      </c>
      <c r="M809" t="s">
        <v>464</v>
      </c>
    </row>
    <row r="810" spans="1:14">
      <c r="A810" t="s">
        <v>41</v>
      </c>
      <c r="B810">
        <v>1750</v>
      </c>
      <c r="C810" t="s">
        <v>171</v>
      </c>
      <c r="D810" t="s">
        <v>42</v>
      </c>
      <c r="E810" t="s">
        <v>38</v>
      </c>
      <c r="F810" t="s">
        <v>227</v>
      </c>
      <c r="G810" t="s">
        <v>26</v>
      </c>
      <c r="H810">
        <v>0</v>
      </c>
      <c r="I810">
        <v>1750</v>
      </c>
      <c r="L810" t="s">
        <v>43</v>
      </c>
      <c r="M810" t="s">
        <v>43</v>
      </c>
      <c r="N810" t="s">
        <v>386</v>
      </c>
    </row>
    <row r="811" spans="1:14">
      <c r="A811" t="s">
        <v>67</v>
      </c>
      <c r="B811">
        <v>1200</v>
      </c>
      <c r="C811" t="s">
        <v>171</v>
      </c>
      <c r="D811" t="s">
        <v>34</v>
      </c>
      <c r="E811" t="s">
        <v>38</v>
      </c>
      <c r="F811" t="s">
        <v>227</v>
      </c>
      <c r="G811" t="s">
        <v>26</v>
      </c>
      <c r="H811">
        <v>0</v>
      </c>
      <c r="I811">
        <v>1200</v>
      </c>
      <c r="L811" t="s">
        <v>68</v>
      </c>
      <c r="M811" t="s">
        <v>68</v>
      </c>
      <c r="N811" t="s">
        <v>330</v>
      </c>
    </row>
    <row r="812" spans="1:14">
      <c r="A812" t="s">
        <v>342</v>
      </c>
      <c r="B812">
        <v>709000</v>
      </c>
      <c r="C812" t="s">
        <v>171</v>
      </c>
      <c r="D812" t="s">
        <v>34</v>
      </c>
      <c r="E812" t="s">
        <v>38</v>
      </c>
      <c r="F812" t="s">
        <v>227</v>
      </c>
      <c r="G812" t="s">
        <v>26</v>
      </c>
      <c r="H812">
        <v>0</v>
      </c>
      <c r="I812">
        <v>709000</v>
      </c>
      <c r="L812" t="s">
        <v>343</v>
      </c>
      <c r="M812" t="s">
        <v>343</v>
      </c>
      <c r="N812" t="s">
        <v>344</v>
      </c>
    </row>
    <row r="813" spans="1:14">
      <c r="A813" t="s">
        <v>465</v>
      </c>
      <c r="B813">
        <v>225</v>
      </c>
      <c r="C813" t="s">
        <v>171</v>
      </c>
      <c r="D813" t="s">
        <v>34</v>
      </c>
      <c r="E813" t="s">
        <v>38</v>
      </c>
      <c r="F813" t="s">
        <v>227</v>
      </c>
      <c r="G813" t="s">
        <v>26</v>
      </c>
      <c r="H813">
        <v>0</v>
      </c>
      <c r="I813">
        <v>225</v>
      </c>
      <c r="L813" t="s">
        <v>466</v>
      </c>
      <c r="M813" t="s">
        <v>466</v>
      </c>
      <c r="N813" t="s">
        <v>467</v>
      </c>
    </row>
    <row r="814" spans="1:14">
      <c r="A814" t="s">
        <v>139</v>
      </c>
      <c r="B814">
        <v>705000</v>
      </c>
      <c r="C814" t="s">
        <v>171</v>
      </c>
      <c r="D814" t="s">
        <v>34</v>
      </c>
      <c r="E814" t="s">
        <v>38</v>
      </c>
      <c r="F814" t="s">
        <v>227</v>
      </c>
      <c r="G814" t="s">
        <v>26</v>
      </c>
      <c r="H814">
        <v>0</v>
      </c>
      <c r="I814">
        <v>705000</v>
      </c>
      <c r="L814" t="s">
        <v>140</v>
      </c>
      <c r="M814" t="s">
        <v>140</v>
      </c>
      <c r="N814" t="s">
        <v>345</v>
      </c>
    </row>
    <row r="815" spans="1:14">
      <c r="A815" t="s">
        <v>1253</v>
      </c>
      <c r="B815">
        <v>312000</v>
      </c>
      <c r="C815" t="s">
        <v>171</v>
      </c>
      <c r="D815" t="s">
        <v>169</v>
      </c>
      <c r="E815" t="s">
        <v>35</v>
      </c>
      <c r="F815" t="s">
        <v>227</v>
      </c>
      <c r="G815" t="s">
        <v>26</v>
      </c>
      <c r="H815">
        <v>0</v>
      </c>
      <c r="I815">
        <v>312000</v>
      </c>
      <c r="L815" t="s">
        <v>1254</v>
      </c>
      <c r="M815" t="s">
        <v>1254</v>
      </c>
      <c r="N815" t="s">
        <v>332</v>
      </c>
    </row>
    <row r="816" spans="1:14">
      <c r="A816" t="s">
        <v>300</v>
      </c>
      <c r="B816">
        <v>156000</v>
      </c>
      <c r="C816" t="s">
        <v>171</v>
      </c>
      <c r="D816" t="s">
        <v>20</v>
      </c>
      <c r="E816" t="s">
        <v>35</v>
      </c>
      <c r="F816" t="s">
        <v>227</v>
      </c>
      <c r="G816" t="s">
        <v>26</v>
      </c>
      <c r="H816">
        <v>0</v>
      </c>
      <c r="I816">
        <v>156000</v>
      </c>
      <c r="L816" t="s">
        <v>302</v>
      </c>
      <c r="M816" t="s">
        <v>1260</v>
      </c>
      <c r="N816" t="s">
        <v>303</v>
      </c>
    </row>
    <row r="818" spans="1:14">
      <c r="A818" s="1" t="s">
        <v>0</v>
      </c>
      <c r="B818" s="1" t="s">
        <v>468</v>
      </c>
    </row>
    <row r="819" spans="1:14">
      <c r="A819" t="s">
        <v>13</v>
      </c>
      <c r="B819" t="s">
        <v>328</v>
      </c>
    </row>
    <row r="820" spans="1:14">
      <c r="A820" t="s">
        <v>1</v>
      </c>
      <c r="B820" t="s">
        <v>20</v>
      </c>
    </row>
    <row r="821" spans="1:14">
      <c r="A821" t="s">
        <v>2</v>
      </c>
      <c r="B821">
        <v>1</v>
      </c>
    </row>
    <row r="822" spans="1:14">
      <c r="A822" t="s">
        <v>3</v>
      </c>
      <c r="B822" t="s">
        <v>468</v>
      </c>
    </row>
    <row r="823" spans="1:14">
      <c r="A823" t="s">
        <v>5</v>
      </c>
      <c r="B823" t="s">
        <v>6</v>
      </c>
    </row>
    <row r="824" spans="1:14">
      <c r="A824" t="s">
        <v>7</v>
      </c>
      <c r="B824" t="s">
        <v>7</v>
      </c>
    </row>
    <row r="825" spans="1:14">
      <c r="A825" s="1" t="s">
        <v>14</v>
      </c>
    </row>
    <row r="826" spans="1:14">
      <c r="A826" t="s">
        <v>15</v>
      </c>
      <c r="B826" t="s">
        <v>16</v>
      </c>
      <c r="C826" t="s">
        <v>17</v>
      </c>
      <c r="D826" t="s">
        <v>1</v>
      </c>
      <c r="E826" t="s">
        <v>7</v>
      </c>
      <c r="F826" t="s">
        <v>18</v>
      </c>
      <c r="G826" t="s">
        <v>5</v>
      </c>
      <c r="H826" t="s">
        <v>203</v>
      </c>
      <c r="I826" t="s">
        <v>204</v>
      </c>
      <c r="J826" t="s">
        <v>206</v>
      </c>
      <c r="K826" t="s">
        <v>13</v>
      </c>
      <c r="L826" t="s">
        <v>208</v>
      </c>
      <c r="M826" t="s">
        <v>3</v>
      </c>
      <c r="N826" t="s">
        <v>209</v>
      </c>
    </row>
    <row r="827" spans="1:14">
      <c r="A827" t="s">
        <v>468</v>
      </c>
      <c r="B827">
        <v>1</v>
      </c>
      <c r="C827" t="s">
        <v>1413</v>
      </c>
      <c r="D827" t="s">
        <v>20</v>
      </c>
      <c r="E827" t="s">
        <v>7</v>
      </c>
      <c r="F827" t="s">
        <v>224</v>
      </c>
      <c r="G827" t="s">
        <v>24</v>
      </c>
      <c r="J827">
        <v>100</v>
      </c>
      <c r="M827" t="s">
        <v>468</v>
      </c>
    </row>
    <row r="828" spans="1:14">
      <c r="A828" t="s">
        <v>342</v>
      </c>
      <c r="B828">
        <v>150000</v>
      </c>
      <c r="C828" t="s">
        <v>171</v>
      </c>
      <c r="D828" t="s">
        <v>34</v>
      </c>
      <c r="E828" t="s">
        <v>38</v>
      </c>
      <c r="F828" t="s">
        <v>227</v>
      </c>
      <c r="G828" t="s">
        <v>26</v>
      </c>
      <c r="H828">
        <v>0</v>
      </c>
      <c r="I828">
        <v>150000</v>
      </c>
      <c r="L828" t="s">
        <v>343</v>
      </c>
      <c r="M828" t="s">
        <v>343</v>
      </c>
      <c r="N828" t="s">
        <v>344</v>
      </c>
    </row>
    <row r="829" spans="1:14">
      <c r="A829" t="s">
        <v>139</v>
      </c>
      <c r="B829">
        <v>150000</v>
      </c>
      <c r="C829" t="s">
        <v>171</v>
      </c>
      <c r="D829" t="s">
        <v>34</v>
      </c>
      <c r="E829" t="s">
        <v>38</v>
      </c>
      <c r="F829" t="s">
        <v>227</v>
      </c>
      <c r="G829" t="s">
        <v>26</v>
      </c>
      <c r="H829">
        <v>0</v>
      </c>
      <c r="I829">
        <v>150000</v>
      </c>
      <c r="L829" t="s">
        <v>140</v>
      </c>
      <c r="M829" t="s">
        <v>140</v>
      </c>
      <c r="N829" t="s">
        <v>345</v>
      </c>
    </row>
    <row r="830" spans="1:14">
      <c r="A830" t="s">
        <v>1253</v>
      </c>
      <c r="B830">
        <v>33000</v>
      </c>
      <c r="C830" t="s">
        <v>171</v>
      </c>
      <c r="D830" t="s">
        <v>169</v>
      </c>
      <c r="E830" t="s">
        <v>35</v>
      </c>
      <c r="F830" t="s">
        <v>227</v>
      </c>
      <c r="G830" t="s">
        <v>26</v>
      </c>
      <c r="H830">
        <v>0</v>
      </c>
      <c r="I830">
        <v>33000</v>
      </c>
      <c r="L830" t="s">
        <v>1254</v>
      </c>
      <c r="M830" t="s">
        <v>1254</v>
      </c>
      <c r="N830" t="s">
        <v>332</v>
      </c>
    </row>
    <row r="831" spans="1:14">
      <c r="A831" t="s">
        <v>300</v>
      </c>
      <c r="B831">
        <v>16500</v>
      </c>
      <c r="C831" t="s">
        <v>171</v>
      </c>
      <c r="D831" t="s">
        <v>20</v>
      </c>
      <c r="E831" t="s">
        <v>35</v>
      </c>
      <c r="F831" t="s">
        <v>227</v>
      </c>
      <c r="G831" t="s">
        <v>26</v>
      </c>
      <c r="H831">
        <v>0</v>
      </c>
      <c r="I831">
        <v>16500</v>
      </c>
      <c r="L831" t="s">
        <v>302</v>
      </c>
      <c r="M831" t="s">
        <v>1260</v>
      </c>
      <c r="N831" t="s">
        <v>303</v>
      </c>
    </row>
    <row r="833" spans="1:12">
      <c r="A833" s="1" t="s">
        <v>0</v>
      </c>
      <c r="B833" s="1" t="s">
        <v>454</v>
      </c>
    </row>
    <row r="834" spans="1:12">
      <c r="A834" t="s">
        <v>13</v>
      </c>
      <c r="B834" t="s">
        <v>328</v>
      </c>
    </row>
    <row r="835" spans="1:12">
      <c r="A835" t="s">
        <v>1</v>
      </c>
      <c r="B835" t="s">
        <v>20</v>
      </c>
    </row>
    <row r="836" spans="1:12">
      <c r="A836" t="s">
        <v>2</v>
      </c>
      <c r="B836">
        <v>1</v>
      </c>
    </row>
    <row r="837" spans="1:12">
      <c r="A837" t="s">
        <v>3</v>
      </c>
      <c r="B837" t="s">
        <v>454</v>
      </c>
    </row>
    <row r="838" spans="1:12">
      <c r="A838" t="s">
        <v>5</v>
      </c>
      <c r="B838" t="s">
        <v>6</v>
      </c>
    </row>
    <row r="839" spans="1:12">
      <c r="A839" t="s">
        <v>7</v>
      </c>
      <c r="B839" t="s">
        <v>7</v>
      </c>
    </row>
    <row r="840" spans="1:12">
      <c r="A840" s="1" t="s">
        <v>14</v>
      </c>
    </row>
    <row r="841" spans="1:12">
      <c r="A841" t="s">
        <v>15</v>
      </c>
      <c r="B841" t="s">
        <v>16</v>
      </c>
      <c r="C841" t="s">
        <v>17</v>
      </c>
      <c r="D841" t="s">
        <v>1</v>
      </c>
      <c r="E841" t="s">
        <v>7</v>
      </c>
      <c r="F841" t="s">
        <v>18</v>
      </c>
      <c r="G841" t="s">
        <v>5</v>
      </c>
      <c r="H841" t="s">
        <v>203</v>
      </c>
      <c r="I841" t="s">
        <v>204</v>
      </c>
      <c r="J841" t="s">
        <v>206</v>
      </c>
      <c r="K841" t="s">
        <v>13</v>
      </c>
      <c r="L841" t="s">
        <v>3</v>
      </c>
    </row>
    <row r="842" spans="1:12">
      <c r="A842" t="s">
        <v>454</v>
      </c>
      <c r="B842">
        <v>1</v>
      </c>
      <c r="C842" t="s">
        <v>1413</v>
      </c>
      <c r="D842" t="s">
        <v>20</v>
      </c>
      <c r="E842" t="s">
        <v>7</v>
      </c>
      <c r="F842" t="s">
        <v>224</v>
      </c>
      <c r="G842" t="s">
        <v>24</v>
      </c>
      <c r="J842">
        <v>100</v>
      </c>
      <c r="L842" t="s">
        <v>454</v>
      </c>
    </row>
    <row r="843" spans="1:12">
      <c r="A843" t="s">
        <v>463</v>
      </c>
      <c r="B843">
        <v>1</v>
      </c>
      <c r="C843" t="s">
        <v>1413</v>
      </c>
      <c r="D843" t="s">
        <v>20</v>
      </c>
      <c r="E843" t="s">
        <v>7</v>
      </c>
      <c r="F843" t="s">
        <v>227</v>
      </c>
      <c r="G843" t="s">
        <v>26</v>
      </c>
      <c r="H843">
        <v>0</v>
      </c>
      <c r="I843">
        <v>1</v>
      </c>
      <c r="L843" t="s">
        <v>463</v>
      </c>
    </row>
    <row r="844" spans="1:12">
      <c r="A844" t="s">
        <v>464</v>
      </c>
      <c r="B844">
        <v>1</v>
      </c>
      <c r="C844" t="s">
        <v>1413</v>
      </c>
      <c r="D844" t="s">
        <v>20</v>
      </c>
      <c r="E844" t="s">
        <v>7</v>
      </c>
      <c r="F844" t="s">
        <v>227</v>
      </c>
      <c r="G844" t="s">
        <v>26</v>
      </c>
      <c r="H844">
        <v>0</v>
      </c>
      <c r="I844">
        <v>1</v>
      </c>
      <c r="L844" t="s">
        <v>464</v>
      </c>
    </row>
    <row r="845" spans="1:12">
      <c r="A845" t="s">
        <v>468</v>
      </c>
      <c r="B845">
        <v>1</v>
      </c>
      <c r="C845" t="s">
        <v>1413</v>
      </c>
      <c r="D845" t="s">
        <v>20</v>
      </c>
      <c r="E845" t="s">
        <v>7</v>
      </c>
      <c r="F845" t="s">
        <v>227</v>
      </c>
      <c r="G845" t="s">
        <v>26</v>
      </c>
      <c r="H845">
        <v>0</v>
      </c>
      <c r="I845">
        <v>1</v>
      </c>
      <c r="L845" t="s">
        <v>468</v>
      </c>
    </row>
    <row r="846" spans="1:12">
      <c r="A846" t="s">
        <v>469</v>
      </c>
      <c r="B846">
        <v>4</v>
      </c>
      <c r="C846" t="s">
        <v>1413</v>
      </c>
      <c r="D846" t="s">
        <v>20</v>
      </c>
      <c r="E846" t="s">
        <v>7</v>
      </c>
      <c r="F846" t="s">
        <v>227</v>
      </c>
      <c r="G846" t="s">
        <v>26</v>
      </c>
      <c r="H846">
        <v>0</v>
      </c>
      <c r="I846">
        <v>4</v>
      </c>
      <c r="L846" t="s">
        <v>469</v>
      </c>
    </row>
    <row r="847" spans="1:12">
      <c r="A847" t="s">
        <v>470</v>
      </c>
      <c r="B847">
        <v>4</v>
      </c>
      <c r="C847" t="s">
        <v>1413</v>
      </c>
      <c r="D847" t="s">
        <v>20</v>
      </c>
      <c r="E847" t="s">
        <v>7</v>
      </c>
      <c r="F847" t="s">
        <v>227</v>
      </c>
      <c r="G847" t="s">
        <v>26</v>
      </c>
      <c r="H847">
        <v>0</v>
      </c>
      <c r="I847">
        <v>4</v>
      </c>
      <c r="L847" t="s">
        <v>470</v>
      </c>
    </row>
    <row r="849" spans="1:12">
      <c r="A849" s="1" t="s">
        <v>0</v>
      </c>
      <c r="B849" s="1" t="s">
        <v>358</v>
      </c>
    </row>
    <row r="850" spans="1:12">
      <c r="A850" t="s">
        <v>13</v>
      </c>
      <c r="B850" t="s">
        <v>328</v>
      </c>
    </row>
    <row r="851" spans="1:12">
      <c r="A851" t="s">
        <v>1</v>
      </c>
      <c r="B851" t="s">
        <v>20</v>
      </c>
    </row>
    <row r="852" spans="1:12">
      <c r="A852" t="s">
        <v>2</v>
      </c>
      <c r="B852">
        <v>1</v>
      </c>
    </row>
    <row r="853" spans="1:12">
      <c r="A853" t="s">
        <v>3</v>
      </c>
      <c r="B853" t="s">
        <v>358</v>
      </c>
    </row>
    <row r="854" spans="1:12">
      <c r="A854" t="s">
        <v>5</v>
      </c>
      <c r="B854" t="s">
        <v>6</v>
      </c>
    </row>
    <row r="855" spans="1:12">
      <c r="A855" t="s">
        <v>7</v>
      </c>
      <c r="B855" t="s">
        <v>7</v>
      </c>
    </row>
    <row r="856" spans="1:12">
      <c r="A856" s="1" t="s">
        <v>14</v>
      </c>
    </row>
    <row r="857" spans="1:12">
      <c r="A857" t="s">
        <v>15</v>
      </c>
      <c r="B857" t="s">
        <v>16</v>
      </c>
      <c r="C857" t="s">
        <v>17</v>
      </c>
      <c r="D857" t="s">
        <v>1</v>
      </c>
      <c r="E857" t="s">
        <v>7</v>
      </c>
      <c r="F857" t="s">
        <v>18</v>
      </c>
      <c r="G857" t="s">
        <v>5</v>
      </c>
      <c r="H857" t="s">
        <v>203</v>
      </c>
      <c r="I857" t="s">
        <v>204</v>
      </c>
      <c r="J857" t="s">
        <v>206</v>
      </c>
      <c r="K857" t="s">
        <v>13</v>
      </c>
      <c r="L857" t="s">
        <v>3</v>
      </c>
    </row>
    <row r="858" spans="1:12">
      <c r="A858" t="s">
        <v>358</v>
      </c>
      <c r="B858">
        <v>1</v>
      </c>
      <c r="C858" t="s">
        <v>1413</v>
      </c>
      <c r="D858" t="s">
        <v>20</v>
      </c>
      <c r="E858" t="s">
        <v>7</v>
      </c>
      <c r="F858" t="s">
        <v>224</v>
      </c>
      <c r="G858" t="s">
        <v>24</v>
      </c>
      <c r="J858">
        <v>100</v>
      </c>
      <c r="L858" t="s">
        <v>358</v>
      </c>
    </row>
    <row r="859" spans="1:12">
      <c r="A859" t="s">
        <v>471</v>
      </c>
      <c r="B859">
        <v>1</v>
      </c>
      <c r="C859" t="s">
        <v>1413</v>
      </c>
      <c r="D859" t="s">
        <v>20</v>
      </c>
      <c r="E859" t="s">
        <v>7</v>
      </c>
      <c r="F859" t="s">
        <v>227</v>
      </c>
      <c r="G859" t="s">
        <v>26</v>
      </c>
      <c r="H859">
        <v>0</v>
      </c>
      <c r="I859">
        <v>1</v>
      </c>
      <c r="L859" t="s">
        <v>471</v>
      </c>
    </row>
    <row r="860" spans="1:12">
      <c r="A860" t="s">
        <v>472</v>
      </c>
      <c r="B860">
        <v>1</v>
      </c>
      <c r="C860" t="s">
        <v>1413</v>
      </c>
      <c r="D860" t="s">
        <v>20</v>
      </c>
      <c r="E860" t="s">
        <v>7</v>
      </c>
      <c r="F860" t="s">
        <v>227</v>
      </c>
      <c r="G860" t="s">
        <v>26</v>
      </c>
      <c r="H860">
        <v>0</v>
      </c>
      <c r="I860">
        <v>1</v>
      </c>
      <c r="L860" t="s">
        <v>472</v>
      </c>
    </row>
    <row r="861" spans="1:12">
      <c r="A861" t="s">
        <v>473</v>
      </c>
      <c r="B861">
        <v>1</v>
      </c>
      <c r="C861" t="s">
        <v>1413</v>
      </c>
      <c r="D861" t="s">
        <v>20</v>
      </c>
      <c r="E861" t="s">
        <v>7</v>
      </c>
      <c r="F861" t="s">
        <v>227</v>
      </c>
      <c r="G861" t="s">
        <v>26</v>
      </c>
      <c r="H861">
        <v>0</v>
      </c>
      <c r="I861">
        <v>1</v>
      </c>
      <c r="L861" t="s">
        <v>473</v>
      </c>
    </row>
    <row r="862" spans="1:12">
      <c r="A862" t="s">
        <v>474</v>
      </c>
      <c r="B862">
        <v>1</v>
      </c>
      <c r="C862" t="s">
        <v>1413</v>
      </c>
      <c r="D862" t="s">
        <v>20</v>
      </c>
      <c r="E862" t="s">
        <v>7</v>
      </c>
      <c r="F862" t="s">
        <v>227</v>
      </c>
      <c r="G862" t="s">
        <v>26</v>
      </c>
      <c r="H862">
        <v>0</v>
      </c>
      <c r="I862">
        <v>1</v>
      </c>
      <c r="L862" t="s">
        <v>474</v>
      </c>
    </row>
    <row r="864" spans="1:12">
      <c r="A864" s="1" t="s">
        <v>0</v>
      </c>
      <c r="B864" s="1" t="s">
        <v>471</v>
      </c>
    </row>
    <row r="865" spans="1:14">
      <c r="A865" t="s">
        <v>13</v>
      </c>
      <c r="B865" t="s">
        <v>328</v>
      </c>
    </row>
    <row r="866" spans="1:14">
      <c r="A866" t="s">
        <v>1</v>
      </c>
      <c r="B866" t="s">
        <v>20</v>
      </c>
    </row>
    <row r="867" spans="1:14">
      <c r="A867" t="s">
        <v>2</v>
      </c>
      <c r="B867">
        <v>1</v>
      </c>
    </row>
    <row r="868" spans="1:14">
      <c r="A868" t="s">
        <v>3</v>
      </c>
      <c r="B868" t="s">
        <v>471</v>
      </c>
    </row>
    <row r="869" spans="1:14">
      <c r="A869" t="s">
        <v>5</v>
      </c>
      <c r="B869" t="s">
        <v>6</v>
      </c>
    </row>
    <row r="870" spans="1:14">
      <c r="A870" t="s">
        <v>7</v>
      </c>
      <c r="B870" t="s">
        <v>7</v>
      </c>
    </row>
    <row r="871" spans="1:14">
      <c r="A871" s="1" t="s">
        <v>14</v>
      </c>
    </row>
    <row r="872" spans="1:14">
      <c r="A872" t="s">
        <v>15</v>
      </c>
      <c r="B872" t="s">
        <v>16</v>
      </c>
      <c r="C872" t="s">
        <v>17</v>
      </c>
      <c r="D872" t="s">
        <v>1</v>
      </c>
      <c r="E872" t="s">
        <v>7</v>
      </c>
      <c r="F872" t="s">
        <v>18</v>
      </c>
      <c r="G872" t="s">
        <v>5</v>
      </c>
      <c r="H872" t="s">
        <v>203</v>
      </c>
      <c r="I872" t="s">
        <v>204</v>
      </c>
      <c r="J872" t="s">
        <v>206</v>
      </c>
      <c r="K872" t="s">
        <v>13</v>
      </c>
      <c r="L872" t="s">
        <v>208</v>
      </c>
      <c r="M872" t="s">
        <v>3</v>
      </c>
      <c r="N872" t="s">
        <v>209</v>
      </c>
    </row>
    <row r="873" spans="1:14">
      <c r="A873" t="s">
        <v>471</v>
      </c>
      <c r="B873">
        <v>1</v>
      </c>
      <c r="C873" t="s">
        <v>1413</v>
      </c>
      <c r="D873" t="s">
        <v>20</v>
      </c>
      <c r="E873" t="s">
        <v>7</v>
      </c>
      <c r="F873" t="s">
        <v>224</v>
      </c>
      <c r="G873" t="s">
        <v>24</v>
      </c>
      <c r="J873">
        <v>100</v>
      </c>
      <c r="M873" t="s">
        <v>471</v>
      </c>
    </row>
    <row r="874" spans="1:14">
      <c r="A874" t="s">
        <v>1004</v>
      </c>
      <c r="B874">
        <v>550</v>
      </c>
      <c r="C874" t="s">
        <v>171</v>
      </c>
      <c r="D874" t="s">
        <v>155</v>
      </c>
      <c r="E874" t="s">
        <v>119</v>
      </c>
      <c r="F874" t="s">
        <v>227</v>
      </c>
      <c r="G874" t="s">
        <v>26</v>
      </c>
      <c r="H874">
        <v>0</v>
      </c>
      <c r="I874">
        <v>550</v>
      </c>
      <c r="L874" t="s">
        <v>1003</v>
      </c>
      <c r="M874" t="s">
        <v>1003</v>
      </c>
      <c r="N874" t="s">
        <v>266</v>
      </c>
    </row>
    <row r="875" spans="1:14">
      <c r="A875" t="s">
        <v>342</v>
      </c>
      <c r="B875">
        <v>1400000</v>
      </c>
      <c r="C875" t="s">
        <v>171</v>
      </c>
      <c r="D875" t="s">
        <v>34</v>
      </c>
      <c r="E875" t="s">
        <v>38</v>
      </c>
      <c r="F875" t="s">
        <v>227</v>
      </c>
      <c r="G875" t="s">
        <v>26</v>
      </c>
      <c r="H875">
        <v>0</v>
      </c>
      <c r="I875">
        <v>1400000</v>
      </c>
      <c r="L875" t="s">
        <v>343</v>
      </c>
      <c r="M875" t="s">
        <v>343</v>
      </c>
      <c r="N875" t="s">
        <v>344</v>
      </c>
    </row>
    <row r="876" spans="1:14">
      <c r="A876" t="s">
        <v>293</v>
      </c>
      <c r="B876">
        <v>13300000</v>
      </c>
      <c r="C876" t="s">
        <v>171</v>
      </c>
      <c r="D876" t="s">
        <v>34</v>
      </c>
      <c r="E876" t="s">
        <v>38</v>
      </c>
      <c r="F876" t="s">
        <v>227</v>
      </c>
      <c r="G876" t="s">
        <v>26</v>
      </c>
      <c r="H876">
        <v>0</v>
      </c>
      <c r="I876">
        <v>13300000</v>
      </c>
      <c r="L876" t="s">
        <v>189</v>
      </c>
      <c r="M876" t="s">
        <v>189</v>
      </c>
      <c r="N876" t="s">
        <v>294</v>
      </c>
    </row>
    <row r="877" spans="1:14">
      <c r="A877" t="s">
        <v>139</v>
      </c>
      <c r="B877">
        <v>100000</v>
      </c>
      <c r="C877" t="s">
        <v>171</v>
      </c>
      <c r="D877" t="s">
        <v>34</v>
      </c>
      <c r="E877" t="s">
        <v>38</v>
      </c>
      <c r="F877" t="s">
        <v>227</v>
      </c>
      <c r="G877" t="s">
        <v>26</v>
      </c>
      <c r="H877">
        <v>0</v>
      </c>
      <c r="I877">
        <v>100000</v>
      </c>
      <c r="L877" t="s">
        <v>140</v>
      </c>
      <c r="M877" t="s">
        <v>140</v>
      </c>
      <c r="N877" t="s">
        <v>345</v>
      </c>
    </row>
    <row r="878" spans="1:14">
      <c r="A878" t="s">
        <v>39</v>
      </c>
      <c r="B878">
        <v>1300000</v>
      </c>
      <c r="C878" t="s">
        <v>171</v>
      </c>
      <c r="D878" t="s">
        <v>34</v>
      </c>
      <c r="E878" t="s">
        <v>38</v>
      </c>
      <c r="F878" t="s">
        <v>227</v>
      </c>
      <c r="G878" t="s">
        <v>26</v>
      </c>
      <c r="H878">
        <v>0</v>
      </c>
      <c r="I878">
        <v>1300000</v>
      </c>
      <c r="L878" t="s">
        <v>40</v>
      </c>
      <c r="M878" t="s">
        <v>40</v>
      </c>
      <c r="N878" t="s">
        <v>299</v>
      </c>
    </row>
    <row r="879" spans="1:14">
      <c r="A879" t="s">
        <v>1253</v>
      </c>
      <c r="B879">
        <v>2940000</v>
      </c>
      <c r="C879" t="s">
        <v>171</v>
      </c>
      <c r="D879" t="s">
        <v>169</v>
      </c>
      <c r="E879" t="s">
        <v>35</v>
      </c>
      <c r="F879" t="s">
        <v>227</v>
      </c>
      <c r="G879" t="s">
        <v>26</v>
      </c>
      <c r="H879">
        <v>0</v>
      </c>
      <c r="I879">
        <v>2940000</v>
      </c>
      <c r="L879" t="s">
        <v>1254</v>
      </c>
      <c r="M879" t="s">
        <v>1254</v>
      </c>
      <c r="N879" t="s">
        <v>332</v>
      </c>
    </row>
    <row r="880" spans="1:14">
      <c r="A880" t="s">
        <v>300</v>
      </c>
      <c r="B880">
        <v>1540000</v>
      </c>
      <c r="C880" t="s">
        <v>171</v>
      </c>
      <c r="D880" t="s">
        <v>20</v>
      </c>
      <c r="E880" t="s">
        <v>35</v>
      </c>
      <c r="F880" t="s">
        <v>227</v>
      </c>
      <c r="G880" t="s">
        <v>26</v>
      </c>
      <c r="H880">
        <v>0</v>
      </c>
      <c r="I880">
        <v>1540000</v>
      </c>
      <c r="L880" t="s">
        <v>302</v>
      </c>
      <c r="M880" t="s">
        <v>1260</v>
      </c>
      <c r="N880" t="s">
        <v>303</v>
      </c>
    </row>
    <row r="882" spans="1:14">
      <c r="A882" s="1" t="s">
        <v>0</v>
      </c>
      <c r="B882" s="1" t="s">
        <v>472</v>
      </c>
    </row>
    <row r="883" spans="1:14">
      <c r="A883" t="s">
        <v>13</v>
      </c>
      <c r="B883" t="s">
        <v>328</v>
      </c>
    </row>
    <row r="884" spans="1:14">
      <c r="A884" t="s">
        <v>1</v>
      </c>
      <c r="B884" t="s">
        <v>20</v>
      </c>
    </row>
    <row r="885" spans="1:14">
      <c r="A885" t="s">
        <v>2</v>
      </c>
      <c r="B885">
        <v>1</v>
      </c>
    </row>
    <row r="886" spans="1:14">
      <c r="A886" t="s">
        <v>3</v>
      </c>
      <c r="B886" t="s">
        <v>472</v>
      </c>
    </row>
    <row r="887" spans="1:14">
      <c r="A887" t="s">
        <v>5</v>
      </c>
      <c r="B887" t="s">
        <v>6</v>
      </c>
    </row>
    <row r="888" spans="1:14">
      <c r="A888" t="s">
        <v>7</v>
      </c>
      <c r="B888" t="s">
        <v>7</v>
      </c>
    </row>
    <row r="889" spans="1:14">
      <c r="A889" s="1" t="s">
        <v>14</v>
      </c>
    </row>
    <row r="890" spans="1:14">
      <c r="A890" t="s">
        <v>15</v>
      </c>
      <c r="B890" t="s">
        <v>16</v>
      </c>
      <c r="C890" t="s">
        <v>17</v>
      </c>
      <c r="D890" t="s">
        <v>1</v>
      </c>
      <c r="E890" t="s">
        <v>7</v>
      </c>
      <c r="F890" t="s">
        <v>18</v>
      </c>
      <c r="G890" t="s">
        <v>5</v>
      </c>
      <c r="H890" t="s">
        <v>203</v>
      </c>
      <c r="I890" t="s">
        <v>204</v>
      </c>
      <c r="J890" t="s">
        <v>206</v>
      </c>
      <c r="K890" t="s">
        <v>13</v>
      </c>
      <c r="L890" t="s">
        <v>208</v>
      </c>
      <c r="M890" t="s">
        <v>3</v>
      </c>
      <c r="N890" t="s">
        <v>209</v>
      </c>
    </row>
    <row r="891" spans="1:14">
      <c r="A891" t="s">
        <v>472</v>
      </c>
      <c r="B891">
        <v>1</v>
      </c>
      <c r="C891" t="s">
        <v>1413</v>
      </c>
      <c r="D891" t="s">
        <v>20</v>
      </c>
      <c r="E891" t="s">
        <v>7</v>
      </c>
      <c r="F891" t="s">
        <v>224</v>
      </c>
      <c r="G891" t="s">
        <v>24</v>
      </c>
      <c r="J891">
        <v>100</v>
      </c>
      <c r="M891" t="s">
        <v>472</v>
      </c>
    </row>
    <row r="892" spans="1:14">
      <c r="A892" t="s">
        <v>327</v>
      </c>
      <c r="B892">
        <v>5</v>
      </c>
      <c r="C892" t="s">
        <v>1413</v>
      </c>
      <c r="D892" t="s">
        <v>20</v>
      </c>
      <c r="E892" t="s">
        <v>7</v>
      </c>
      <c r="F892" t="s">
        <v>227</v>
      </c>
      <c r="G892" t="s">
        <v>26</v>
      </c>
      <c r="H892">
        <v>0</v>
      </c>
      <c r="I892">
        <v>5</v>
      </c>
      <c r="M892" t="s">
        <v>327</v>
      </c>
    </row>
    <row r="893" spans="1:14">
      <c r="A893" t="s">
        <v>337</v>
      </c>
      <c r="B893">
        <v>1</v>
      </c>
      <c r="C893" t="s">
        <v>1413</v>
      </c>
      <c r="D893" t="s">
        <v>20</v>
      </c>
      <c r="E893" t="s">
        <v>7</v>
      </c>
      <c r="F893" t="s">
        <v>227</v>
      </c>
      <c r="G893" t="s">
        <v>26</v>
      </c>
      <c r="H893">
        <v>0</v>
      </c>
      <c r="I893">
        <v>1</v>
      </c>
      <c r="M893" t="s">
        <v>337</v>
      </c>
    </row>
    <row r="894" spans="1:14">
      <c r="A894" t="s">
        <v>338</v>
      </c>
      <c r="B894">
        <v>150000</v>
      </c>
      <c r="C894" t="s">
        <v>1413</v>
      </c>
      <c r="D894" t="s">
        <v>20</v>
      </c>
      <c r="E894" t="s">
        <v>131</v>
      </c>
      <c r="F894" t="s">
        <v>227</v>
      </c>
      <c r="G894" t="s">
        <v>26</v>
      </c>
      <c r="H894">
        <v>0</v>
      </c>
      <c r="I894">
        <v>150000</v>
      </c>
      <c r="M894" t="s">
        <v>338</v>
      </c>
    </row>
    <row r="895" spans="1:14">
      <c r="A895" t="s">
        <v>353</v>
      </c>
      <c r="B895">
        <v>3</v>
      </c>
      <c r="C895" t="s">
        <v>1413</v>
      </c>
      <c r="D895" t="s">
        <v>20</v>
      </c>
      <c r="E895" t="s">
        <v>7</v>
      </c>
      <c r="F895" t="s">
        <v>227</v>
      </c>
      <c r="G895" t="s">
        <v>26</v>
      </c>
      <c r="H895">
        <v>0</v>
      </c>
      <c r="I895">
        <v>3</v>
      </c>
      <c r="M895" t="s">
        <v>353</v>
      </c>
    </row>
    <row r="896" spans="1:14">
      <c r="A896" t="s">
        <v>376</v>
      </c>
      <c r="B896">
        <v>1</v>
      </c>
      <c r="C896" t="s">
        <v>1413</v>
      </c>
      <c r="D896" t="s">
        <v>20</v>
      </c>
      <c r="E896" t="s">
        <v>7</v>
      </c>
      <c r="F896" t="s">
        <v>227</v>
      </c>
      <c r="G896" t="s">
        <v>26</v>
      </c>
      <c r="H896">
        <v>0</v>
      </c>
      <c r="I896">
        <v>1</v>
      </c>
      <c r="M896" t="s">
        <v>376</v>
      </c>
    </row>
    <row r="897" spans="1:14">
      <c r="A897" t="s">
        <v>382</v>
      </c>
      <c r="B897">
        <v>1600</v>
      </c>
      <c r="C897" t="s">
        <v>1413</v>
      </c>
      <c r="D897" t="s">
        <v>20</v>
      </c>
      <c r="E897" t="s">
        <v>114</v>
      </c>
      <c r="F897" t="s">
        <v>227</v>
      </c>
      <c r="G897" t="s">
        <v>26</v>
      </c>
      <c r="H897">
        <v>0</v>
      </c>
      <c r="I897">
        <v>1600</v>
      </c>
      <c r="M897" t="s">
        <v>382</v>
      </c>
    </row>
    <row r="898" spans="1:14">
      <c r="A898" t="s">
        <v>385</v>
      </c>
      <c r="B898">
        <v>10</v>
      </c>
      <c r="C898" t="s">
        <v>1413</v>
      </c>
      <c r="D898" t="s">
        <v>20</v>
      </c>
      <c r="E898" t="s">
        <v>7</v>
      </c>
      <c r="F898" t="s">
        <v>227</v>
      </c>
      <c r="G898" t="s">
        <v>26</v>
      </c>
      <c r="H898">
        <v>0</v>
      </c>
      <c r="I898">
        <v>10</v>
      </c>
      <c r="M898" t="s">
        <v>385</v>
      </c>
    </row>
    <row r="899" spans="1:14">
      <c r="A899" t="s">
        <v>404</v>
      </c>
      <c r="B899">
        <v>1</v>
      </c>
      <c r="C899" t="s">
        <v>1413</v>
      </c>
      <c r="D899" t="s">
        <v>20</v>
      </c>
      <c r="E899" t="s">
        <v>7</v>
      </c>
      <c r="F899" t="s">
        <v>227</v>
      </c>
      <c r="G899" t="s">
        <v>26</v>
      </c>
      <c r="H899">
        <v>0</v>
      </c>
      <c r="I899">
        <v>1</v>
      </c>
      <c r="M899" t="s">
        <v>404</v>
      </c>
    </row>
    <row r="900" spans="1:14">
      <c r="A900" t="s">
        <v>475</v>
      </c>
      <c r="B900">
        <v>4</v>
      </c>
      <c r="C900" t="s">
        <v>1413</v>
      </c>
      <c r="D900" t="s">
        <v>20</v>
      </c>
      <c r="E900" t="s">
        <v>7</v>
      </c>
      <c r="F900" t="s">
        <v>227</v>
      </c>
      <c r="G900" t="s">
        <v>26</v>
      </c>
      <c r="H900">
        <v>0</v>
      </c>
      <c r="I900">
        <v>4</v>
      </c>
      <c r="M900" t="s">
        <v>475</v>
      </c>
    </row>
    <row r="901" spans="1:14">
      <c r="A901" t="s">
        <v>457</v>
      </c>
      <c r="B901">
        <v>110</v>
      </c>
      <c r="C901" t="s">
        <v>1413</v>
      </c>
      <c r="D901" t="s">
        <v>20</v>
      </c>
      <c r="E901" t="s">
        <v>7</v>
      </c>
      <c r="F901" t="s">
        <v>227</v>
      </c>
      <c r="G901" t="s">
        <v>26</v>
      </c>
      <c r="H901">
        <v>0</v>
      </c>
      <c r="I901">
        <v>110</v>
      </c>
      <c r="M901" t="s">
        <v>457</v>
      </c>
    </row>
    <row r="902" spans="1:14">
      <c r="A902" t="s">
        <v>458</v>
      </c>
      <c r="B902">
        <v>70</v>
      </c>
      <c r="C902" t="s">
        <v>1413</v>
      </c>
      <c r="D902" t="s">
        <v>20</v>
      </c>
      <c r="E902" t="s">
        <v>7</v>
      </c>
      <c r="F902" t="s">
        <v>227</v>
      </c>
      <c r="G902" t="s">
        <v>26</v>
      </c>
      <c r="H902">
        <v>0</v>
      </c>
      <c r="I902">
        <v>70</v>
      </c>
      <c r="M902" t="s">
        <v>458</v>
      </c>
    </row>
    <row r="903" spans="1:14">
      <c r="A903" t="s">
        <v>476</v>
      </c>
      <c r="B903">
        <v>11</v>
      </c>
      <c r="C903" t="s">
        <v>1413</v>
      </c>
      <c r="D903" t="s">
        <v>20</v>
      </c>
      <c r="E903" t="s">
        <v>7</v>
      </c>
      <c r="F903" t="s">
        <v>227</v>
      </c>
      <c r="G903" t="s">
        <v>26</v>
      </c>
      <c r="H903">
        <v>0</v>
      </c>
      <c r="I903">
        <v>11</v>
      </c>
      <c r="M903" t="s">
        <v>476</v>
      </c>
    </row>
    <row r="904" spans="1:14">
      <c r="A904" t="s">
        <v>477</v>
      </c>
      <c r="B904">
        <v>7</v>
      </c>
      <c r="C904" t="s">
        <v>1413</v>
      </c>
      <c r="D904" t="s">
        <v>20</v>
      </c>
      <c r="E904" t="s">
        <v>7</v>
      </c>
      <c r="F904" t="s">
        <v>227</v>
      </c>
      <c r="G904" t="s">
        <v>26</v>
      </c>
      <c r="H904">
        <v>0</v>
      </c>
      <c r="I904">
        <v>7</v>
      </c>
      <c r="M904" t="s">
        <v>477</v>
      </c>
    </row>
    <row r="905" spans="1:14">
      <c r="A905" t="s">
        <v>478</v>
      </c>
      <c r="B905">
        <v>1</v>
      </c>
      <c r="C905" t="s">
        <v>1413</v>
      </c>
      <c r="D905" t="s">
        <v>20</v>
      </c>
      <c r="E905" t="s">
        <v>7</v>
      </c>
      <c r="F905" t="s">
        <v>227</v>
      </c>
      <c r="G905" t="s">
        <v>26</v>
      </c>
      <c r="H905">
        <v>0</v>
      </c>
      <c r="I905">
        <v>1</v>
      </c>
      <c r="M905" t="s">
        <v>478</v>
      </c>
    </row>
    <row r="906" spans="1:14">
      <c r="A906" t="s">
        <v>300</v>
      </c>
      <c r="B906">
        <v>629000</v>
      </c>
      <c r="C906" t="s">
        <v>171</v>
      </c>
      <c r="D906" t="s">
        <v>20</v>
      </c>
      <c r="E906" t="s">
        <v>35</v>
      </c>
      <c r="F906" t="s">
        <v>227</v>
      </c>
      <c r="G906" t="s">
        <v>26</v>
      </c>
      <c r="H906">
        <v>0</v>
      </c>
      <c r="I906">
        <v>629000</v>
      </c>
      <c r="L906" t="s">
        <v>302</v>
      </c>
      <c r="M906" t="s">
        <v>1260</v>
      </c>
      <c r="N906" t="s">
        <v>303</v>
      </c>
    </row>
    <row r="908" spans="1:14">
      <c r="A908" s="1" t="s">
        <v>0</v>
      </c>
      <c r="B908" s="1" t="s">
        <v>473</v>
      </c>
    </row>
    <row r="909" spans="1:14">
      <c r="A909" t="s">
        <v>13</v>
      </c>
      <c r="B909" t="s">
        <v>328</v>
      </c>
    </row>
    <row r="910" spans="1:14">
      <c r="A910" t="s">
        <v>1</v>
      </c>
      <c r="B910" t="s">
        <v>20</v>
      </c>
    </row>
    <row r="911" spans="1:14">
      <c r="A911" t="s">
        <v>2</v>
      </c>
      <c r="B911">
        <v>1</v>
      </c>
    </row>
    <row r="912" spans="1:14">
      <c r="A912" t="s">
        <v>3</v>
      </c>
      <c r="B912" t="s">
        <v>473</v>
      </c>
    </row>
    <row r="913" spans="1:14">
      <c r="A913" t="s">
        <v>5</v>
      </c>
      <c r="B913" t="s">
        <v>6</v>
      </c>
    </row>
    <row r="914" spans="1:14">
      <c r="A914" t="s">
        <v>7</v>
      </c>
      <c r="B914" t="s">
        <v>7</v>
      </c>
    </row>
    <row r="915" spans="1:14">
      <c r="A915" s="1" t="s">
        <v>14</v>
      </c>
    </row>
    <row r="916" spans="1:14">
      <c r="A916" t="s">
        <v>15</v>
      </c>
      <c r="B916" t="s">
        <v>16</v>
      </c>
      <c r="C916" t="s">
        <v>17</v>
      </c>
      <c r="D916" t="s">
        <v>1</v>
      </c>
      <c r="E916" t="s">
        <v>7</v>
      </c>
      <c r="F916" t="s">
        <v>18</v>
      </c>
      <c r="G916" t="s">
        <v>5</v>
      </c>
      <c r="H916" t="s">
        <v>203</v>
      </c>
      <c r="I916" t="s">
        <v>204</v>
      </c>
      <c r="J916" t="s">
        <v>206</v>
      </c>
      <c r="K916" t="s">
        <v>13</v>
      </c>
      <c r="L916" t="s">
        <v>208</v>
      </c>
      <c r="M916" t="s">
        <v>3</v>
      </c>
      <c r="N916" t="s">
        <v>209</v>
      </c>
    </row>
    <row r="917" spans="1:14">
      <c r="A917" t="s">
        <v>473</v>
      </c>
      <c r="B917">
        <v>1</v>
      </c>
      <c r="C917" t="s">
        <v>1413</v>
      </c>
      <c r="D917" t="s">
        <v>20</v>
      </c>
      <c r="E917" t="s">
        <v>7</v>
      </c>
      <c r="F917" t="s">
        <v>224</v>
      </c>
      <c r="G917" t="s">
        <v>24</v>
      </c>
      <c r="J917">
        <v>100</v>
      </c>
      <c r="M917" t="s">
        <v>473</v>
      </c>
    </row>
    <row r="918" spans="1:14">
      <c r="A918" t="s">
        <v>340</v>
      </c>
      <c r="B918">
        <v>1</v>
      </c>
      <c r="C918" t="s">
        <v>1413</v>
      </c>
      <c r="D918" t="s">
        <v>20</v>
      </c>
      <c r="E918" t="s">
        <v>7</v>
      </c>
      <c r="F918" t="s">
        <v>227</v>
      </c>
      <c r="G918" t="s">
        <v>26</v>
      </c>
      <c r="H918">
        <v>0</v>
      </c>
      <c r="I918">
        <v>1</v>
      </c>
      <c r="M918" t="s">
        <v>340</v>
      </c>
    </row>
    <row r="919" spans="1:14">
      <c r="A919" t="s">
        <v>348</v>
      </c>
      <c r="B919">
        <v>1</v>
      </c>
      <c r="C919" t="s">
        <v>1413</v>
      </c>
      <c r="D919" t="s">
        <v>20</v>
      </c>
      <c r="E919" t="s">
        <v>7</v>
      </c>
      <c r="F919" t="s">
        <v>227</v>
      </c>
      <c r="G919" t="s">
        <v>26</v>
      </c>
      <c r="H919">
        <v>0</v>
      </c>
      <c r="I919">
        <v>1</v>
      </c>
      <c r="M919" t="s">
        <v>348</v>
      </c>
    </row>
    <row r="920" spans="1:14">
      <c r="A920" t="s">
        <v>380</v>
      </c>
      <c r="B920">
        <v>1</v>
      </c>
      <c r="C920" t="s">
        <v>1413</v>
      </c>
      <c r="D920" t="s">
        <v>20</v>
      </c>
      <c r="E920" t="s">
        <v>7</v>
      </c>
      <c r="F920" t="s">
        <v>227</v>
      </c>
      <c r="G920" t="s">
        <v>26</v>
      </c>
      <c r="H920">
        <v>0</v>
      </c>
      <c r="I920">
        <v>1</v>
      </c>
      <c r="M920" t="s">
        <v>380</v>
      </c>
    </row>
    <row r="921" spans="1:14">
      <c r="A921" t="s">
        <v>451</v>
      </c>
      <c r="B921">
        <v>2</v>
      </c>
      <c r="C921" t="s">
        <v>1413</v>
      </c>
      <c r="D921" t="s">
        <v>20</v>
      </c>
      <c r="E921" t="s">
        <v>7</v>
      </c>
      <c r="F921" t="s">
        <v>227</v>
      </c>
      <c r="G921" t="s">
        <v>26</v>
      </c>
      <c r="H921">
        <v>0</v>
      </c>
      <c r="I921">
        <v>2</v>
      </c>
      <c r="M921" t="s">
        <v>451</v>
      </c>
    </row>
    <row r="922" spans="1:14">
      <c r="A922" t="s">
        <v>461</v>
      </c>
      <c r="B922">
        <v>1</v>
      </c>
      <c r="C922" t="s">
        <v>1413</v>
      </c>
      <c r="D922" t="s">
        <v>20</v>
      </c>
      <c r="E922" t="s">
        <v>7</v>
      </c>
      <c r="F922" t="s">
        <v>227</v>
      </c>
      <c r="G922" t="s">
        <v>26</v>
      </c>
      <c r="H922">
        <v>0</v>
      </c>
      <c r="I922">
        <v>1</v>
      </c>
      <c r="M922" t="s">
        <v>461</v>
      </c>
    </row>
    <row r="923" spans="1:14">
      <c r="A923" t="s">
        <v>462</v>
      </c>
      <c r="B923">
        <v>1</v>
      </c>
      <c r="C923" t="s">
        <v>1413</v>
      </c>
      <c r="D923" t="s">
        <v>20</v>
      </c>
      <c r="E923" t="s">
        <v>7</v>
      </c>
      <c r="F923" t="s">
        <v>227</v>
      </c>
      <c r="G923" t="s">
        <v>26</v>
      </c>
      <c r="H923">
        <v>0</v>
      </c>
      <c r="I923">
        <v>1</v>
      </c>
      <c r="M923" t="s">
        <v>462</v>
      </c>
    </row>
    <row r="924" spans="1:14">
      <c r="A924" t="s">
        <v>479</v>
      </c>
      <c r="B924">
        <v>1</v>
      </c>
      <c r="C924" t="s">
        <v>1413</v>
      </c>
      <c r="D924" t="s">
        <v>20</v>
      </c>
      <c r="E924" t="s">
        <v>7</v>
      </c>
      <c r="F924" t="s">
        <v>227</v>
      </c>
      <c r="G924" t="s">
        <v>26</v>
      </c>
      <c r="H924">
        <v>0</v>
      </c>
      <c r="I924">
        <v>1</v>
      </c>
      <c r="M924" t="s">
        <v>479</v>
      </c>
    </row>
    <row r="925" spans="1:14">
      <c r="A925" t="s">
        <v>300</v>
      </c>
      <c r="B925">
        <v>2880000</v>
      </c>
      <c r="C925" t="s">
        <v>171</v>
      </c>
      <c r="D925" t="s">
        <v>20</v>
      </c>
      <c r="E925" t="s">
        <v>35</v>
      </c>
      <c r="F925" t="s">
        <v>227</v>
      </c>
      <c r="G925" t="s">
        <v>26</v>
      </c>
      <c r="H925">
        <v>0</v>
      </c>
      <c r="I925">
        <v>2880000</v>
      </c>
      <c r="L925" t="s">
        <v>302</v>
      </c>
      <c r="M925" t="s">
        <v>1260</v>
      </c>
      <c r="N925" t="s">
        <v>303</v>
      </c>
    </row>
    <row r="927" spans="1:14">
      <c r="A927" s="1" t="s">
        <v>0</v>
      </c>
      <c r="B927" s="1" t="s">
        <v>474</v>
      </c>
    </row>
    <row r="928" spans="1:14">
      <c r="A928" t="s">
        <v>13</v>
      </c>
      <c r="B928" t="s">
        <v>328</v>
      </c>
    </row>
    <row r="929" spans="1:14">
      <c r="A929" t="s">
        <v>1</v>
      </c>
      <c r="B929" t="s">
        <v>20</v>
      </c>
    </row>
    <row r="930" spans="1:14">
      <c r="A930" t="s">
        <v>2</v>
      </c>
      <c r="B930">
        <v>1</v>
      </c>
    </row>
    <row r="931" spans="1:14">
      <c r="A931" t="s">
        <v>3</v>
      </c>
      <c r="B931" t="s">
        <v>474</v>
      </c>
    </row>
    <row r="932" spans="1:14">
      <c r="A932" t="s">
        <v>5</v>
      </c>
      <c r="B932" t="s">
        <v>6</v>
      </c>
    </row>
    <row r="933" spans="1:14">
      <c r="A933" t="s">
        <v>7</v>
      </c>
      <c r="B933" t="s">
        <v>7</v>
      </c>
    </row>
    <row r="934" spans="1:14">
      <c r="A934" s="1" t="s">
        <v>14</v>
      </c>
    </row>
    <row r="935" spans="1:14">
      <c r="A935" t="s">
        <v>15</v>
      </c>
      <c r="B935" t="s">
        <v>16</v>
      </c>
      <c r="C935" t="s">
        <v>17</v>
      </c>
      <c r="D935" t="s">
        <v>1</v>
      </c>
      <c r="E935" t="s">
        <v>7</v>
      </c>
      <c r="F935" t="s">
        <v>18</v>
      </c>
      <c r="G935" t="s">
        <v>5</v>
      </c>
      <c r="H935" t="s">
        <v>203</v>
      </c>
      <c r="I935" t="s">
        <v>204</v>
      </c>
      <c r="J935" t="s">
        <v>206</v>
      </c>
      <c r="K935" t="s">
        <v>13</v>
      </c>
      <c r="L935" t="s">
        <v>208</v>
      </c>
      <c r="M935" t="s">
        <v>3</v>
      </c>
      <c r="N935" t="s">
        <v>209</v>
      </c>
    </row>
    <row r="936" spans="1:14">
      <c r="A936" t="s">
        <v>474</v>
      </c>
      <c r="B936">
        <v>1</v>
      </c>
      <c r="C936" t="s">
        <v>1413</v>
      </c>
      <c r="D936" t="s">
        <v>20</v>
      </c>
      <c r="E936" t="s">
        <v>7</v>
      </c>
      <c r="F936" t="s">
        <v>224</v>
      </c>
      <c r="G936" t="s">
        <v>24</v>
      </c>
      <c r="J936">
        <v>100</v>
      </c>
      <c r="M936" t="s">
        <v>474</v>
      </c>
    </row>
    <row r="937" spans="1:14">
      <c r="A937" t="s">
        <v>67</v>
      </c>
      <c r="B937">
        <v>1000</v>
      </c>
      <c r="C937" t="s">
        <v>171</v>
      </c>
      <c r="D937" t="s">
        <v>34</v>
      </c>
      <c r="E937" t="s">
        <v>38</v>
      </c>
      <c r="F937" t="s">
        <v>227</v>
      </c>
      <c r="G937" t="s">
        <v>26</v>
      </c>
      <c r="H937">
        <v>0</v>
      </c>
      <c r="I937">
        <v>1000</v>
      </c>
      <c r="L937" t="s">
        <v>68</v>
      </c>
      <c r="M937" t="s">
        <v>68</v>
      </c>
      <c r="N937" t="s">
        <v>330</v>
      </c>
    </row>
    <row r="938" spans="1:14">
      <c r="A938" t="s">
        <v>342</v>
      </c>
      <c r="B938">
        <v>130000</v>
      </c>
      <c r="C938" t="s">
        <v>171</v>
      </c>
      <c r="D938" t="s">
        <v>34</v>
      </c>
      <c r="E938" t="s">
        <v>38</v>
      </c>
      <c r="F938" t="s">
        <v>227</v>
      </c>
      <c r="G938" t="s">
        <v>26</v>
      </c>
      <c r="H938">
        <v>0</v>
      </c>
      <c r="I938">
        <v>130000</v>
      </c>
      <c r="L938" t="s">
        <v>343</v>
      </c>
      <c r="M938" t="s">
        <v>343</v>
      </c>
      <c r="N938" t="s">
        <v>344</v>
      </c>
    </row>
    <row r="939" spans="1:14">
      <c r="A939" t="s">
        <v>293</v>
      </c>
      <c r="B939">
        <v>2000</v>
      </c>
      <c r="C939" t="s">
        <v>171</v>
      </c>
      <c r="D939" t="s">
        <v>34</v>
      </c>
      <c r="E939" t="s">
        <v>38</v>
      </c>
      <c r="F939" t="s">
        <v>227</v>
      </c>
      <c r="G939" t="s">
        <v>26</v>
      </c>
      <c r="H939">
        <v>0</v>
      </c>
      <c r="I939">
        <v>2000</v>
      </c>
      <c r="L939" t="s">
        <v>189</v>
      </c>
      <c r="M939" t="s">
        <v>189</v>
      </c>
      <c r="N939" t="s">
        <v>294</v>
      </c>
    </row>
    <row r="940" spans="1:14">
      <c r="A940" t="s">
        <v>139</v>
      </c>
      <c r="B940">
        <v>10000</v>
      </c>
      <c r="C940" t="s">
        <v>171</v>
      </c>
      <c r="D940" t="s">
        <v>34</v>
      </c>
      <c r="E940" t="s">
        <v>38</v>
      </c>
      <c r="F940" t="s">
        <v>227</v>
      </c>
      <c r="G940" t="s">
        <v>26</v>
      </c>
      <c r="H940">
        <v>0</v>
      </c>
      <c r="I940">
        <v>10000</v>
      </c>
      <c r="L940" t="s">
        <v>140</v>
      </c>
      <c r="M940" t="s">
        <v>140</v>
      </c>
      <c r="N940" t="s">
        <v>345</v>
      </c>
    </row>
    <row r="941" spans="1:14">
      <c r="A941" t="s">
        <v>39</v>
      </c>
      <c r="B941">
        <v>120000</v>
      </c>
      <c r="C941" t="s">
        <v>171</v>
      </c>
      <c r="D941" t="s">
        <v>34</v>
      </c>
      <c r="E941" t="s">
        <v>38</v>
      </c>
      <c r="F941" t="s">
        <v>227</v>
      </c>
      <c r="G941" t="s">
        <v>26</v>
      </c>
      <c r="H941">
        <v>0</v>
      </c>
      <c r="I941">
        <v>120000</v>
      </c>
      <c r="L941" t="s">
        <v>40</v>
      </c>
      <c r="M941" t="s">
        <v>40</v>
      </c>
      <c r="N941" t="s">
        <v>299</v>
      </c>
    </row>
    <row r="942" spans="1:14">
      <c r="A942" t="s">
        <v>1253</v>
      </c>
      <c r="B942">
        <v>66600</v>
      </c>
      <c r="C942" t="s">
        <v>171</v>
      </c>
      <c r="D942" t="s">
        <v>169</v>
      </c>
      <c r="E942" t="s">
        <v>35</v>
      </c>
      <c r="F942" t="s">
        <v>227</v>
      </c>
      <c r="G942" t="s">
        <v>26</v>
      </c>
      <c r="H942">
        <v>0</v>
      </c>
      <c r="I942">
        <v>66600</v>
      </c>
      <c r="L942" t="s">
        <v>1254</v>
      </c>
      <c r="M942" t="s">
        <v>1254</v>
      </c>
      <c r="N942" t="s">
        <v>332</v>
      </c>
    </row>
    <row r="943" spans="1:14">
      <c r="A943" t="s">
        <v>300</v>
      </c>
      <c r="B943">
        <v>13300</v>
      </c>
      <c r="C943" t="s">
        <v>171</v>
      </c>
      <c r="D943" t="s">
        <v>20</v>
      </c>
      <c r="E943" t="s">
        <v>35</v>
      </c>
      <c r="F943" t="s">
        <v>227</v>
      </c>
      <c r="G943" t="s">
        <v>26</v>
      </c>
      <c r="H943">
        <v>0</v>
      </c>
      <c r="I943">
        <v>13300</v>
      </c>
      <c r="L943" t="s">
        <v>302</v>
      </c>
      <c r="M943" t="s">
        <v>1260</v>
      </c>
      <c r="N943" t="s">
        <v>303</v>
      </c>
    </row>
    <row r="944" spans="1:14">
      <c r="A944" t="s">
        <v>193</v>
      </c>
      <c r="B944">
        <v>1000</v>
      </c>
      <c r="C944" t="s">
        <v>171</v>
      </c>
      <c r="D944" t="s">
        <v>20</v>
      </c>
      <c r="E944" t="s">
        <v>38</v>
      </c>
      <c r="F944" t="s">
        <v>227</v>
      </c>
      <c r="G944" t="s">
        <v>26</v>
      </c>
      <c r="H944">
        <v>0</v>
      </c>
      <c r="I944">
        <v>1000</v>
      </c>
      <c r="M944" t="s">
        <v>193</v>
      </c>
      <c r="N944" t="s">
        <v>336</v>
      </c>
    </row>
    <row r="945" spans="1:14">
      <c r="A945" t="s">
        <v>150</v>
      </c>
      <c r="B945">
        <v>2000</v>
      </c>
      <c r="C945" t="s">
        <v>171</v>
      </c>
      <c r="D945" t="s">
        <v>20</v>
      </c>
      <c r="E945" t="s">
        <v>38</v>
      </c>
      <c r="F945" t="s">
        <v>227</v>
      </c>
      <c r="G945" t="s">
        <v>26</v>
      </c>
      <c r="H945">
        <v>0</v>
      </c>
      <c r="I945">
        <v>2000</v>
      </c>
      <c r="M945" t="s">
        <v>150</v>
      </c>
      <c r="N945" t="s">
        <v>480</v>
      </c>
    </row>
    <row r="947" spans="1:14">
      <c r="A947" s="1" t="s">
        <v>0</v>
      </c>
      <c r="B947" s="1" t="s">
        <v>469</v>
      </c>
    </row>
    <row r="948" spans="1:14">
      <c r="A948" t="s">
        <v>13</v>
      </c>
      <c r="B948" t="s">
        <v>328</v>
      </c>
    </row>
    <row r="949" spans="1:14">
      <c r="A949" t="s">
        <v>1</v>
      </c>
      <c r="B949" t="s">
        <v>20</v>
      </c>
    </row>
    <row r="950" spans="1:14">
      <c r="A950" t="s">
        <v>2</v>
      </c>
      <c r="B950">
        <v>1</v>
      </c>
    </row>
    <row r="951" spans="1:14">
      <c r="A951" t="s">
        <v>3</v>
      </c>
      <c r="B951" t="s">
        <v>469</v>
      </c>
    </row>
    <row r="952" spans="1:14">
      <c r="A952" t="s">
        <v>5</v>
      </c>
      <c r="B952" t="s">
        <v>6</v>
      </c>
    </row>
    <row r="953" spans="1:14">
      <c r="A953" t="s">
        <v>7</v>
      </c>
      <c r="B953" t="s">
        <v>7</v>
      </c>
    </row>
    <row r="954" spans="1:14">
      <c r="A954" s="1" t="s">
        <v>14</v>
      </c>
    </row>
    <row r="955" spans="1:14">
      <c r="A955" t="s">
        <v>15</v>
      </c>
      <c r="B955" t="s">
        <v>16</v>
      </c>
      <c r="C955" t="s">
        <v>17</v>
      </c>
      <c r="D955" t="s">
        <v>1</v>
      </c>
      <c r="E955" t="s">
        <v>7</v>
      </c>
      <c r="F955" t="s">
        <v>18</v>
      </c>
      <c r="G955" t="s">
        <v>5</v>
      </c>
      <c r="H955" t="s">
        <v>203</v>
      </c>
      <c r="I955" t="s">
        <v>204</v>
      </c>
      <c r="J955" t="s">
        <v>206</v>
      </c>
      <c r="K955" t="s">
        <v>13</v>
      </c>
      <c r="L955" t="s">
        <v>208</v>
      </c>
      <c r="M955" t="s">
        <v>3</v>
      </c>
      <c r="N955" t="s">
        <v>209</v>
      </c>
    </row>
    <row r="956" spans="1:14">
      <c r="A956" t="s">
        <v>469</v>
      </c>
      <c r="B956">
        <v>1</v>
      </c>
      <c r="C956" t="s">
        <v>1413</v>
      </c>
      <c r="D956" t="s">
        <v>20</v>
      </c>
      <c r="E956" t="s">
        <v>7</v>
      </c>
      <c r="F956" t="s">
        <v>224</v>
      </c>
      <c r="G956" t="s">
        <v>24</v>
      </c>
      <c r="J956">
        <v>100</v>
      </c>
      <c r="M956" t="s">
        <v>469</v>
      </c>
    </row>
    <row r="957" spans="1:14">
      <c r="A957" t="s">
        <v>67</v>
      </c>
      <c r="B957">
        <v>5600</v>
      </c>
      <c r="C957" t="s">
        <v>171</v>
      </c>
      <c r="D957" t="s">
        <v>34</v>
      </c>
      <c r="E957" t="s">
        <v>38</v>
      </c>
      <c r="F957" t="s">
        <v>227</v>
      </c>
      <c r="G957" t="s">
        <v>26</v>
      </c>
      <c r="H957">
        <v>0</v>
      </c>
      <c r="I957">
        <v>5600</v>
      </c>
      <c r="L957" t="s">
        <v>68</v>
      </c>
      <c r="M957" t="s">
        <v>68</v>
      </c>
      <c r="N957" t="s">
        <v>330</v>
      </c>
    </row>
    <row r="958" spans="1:14">
      <c r="A958" t="s">
        <v>342</v>
      </c>
      <c r="B958">
        <v>106000</v>
      </c>
      <c r="C958" t="s">
        <v>171</v>
      </c>
      <c r="D958" t="s">
        <v>34</v>
      </c>
      <c r="E958" t="s">
        <v>38</v>
      </c>
      <c r="F958" t="s">
        <v>227</v>
      </c>
      <c r="G958" t="s">
        <v>26</v>
      </c>
      <c r="H958">
        <v>0</v>
      </c>
      <c r="I958">
        <v>106000</v>
      </c>
      <c r="L958" t="s">
        <v>343</v>
      </c>
      <c r="M958" t="s">
        <v>343</v>
      </c>
      <c r="N958" t="s">
        <v>344</v>
      </c>
    </row>
    <row r="959" spans="1:14">
      <c r="A959" t="s">
        <v>139</v>
      </c>
      <c r="B959">
        <v>106000</v>
      </c>
      <c r="C959" t="s">
        <v>171</v>
      </c>
      <c r="D959" t="s">
        <v>34</v>
      </c>
      <c r="E959" t="s">
        <v>38</v>
      </c>
      <c r="F959" t="s">
        <v>227</v>
      </c>
      <c r="G959" t="s">
        <v>26</v>
      </c>
      <c r="H959">
        <v>0</v>
      </c>
      <c r="I959">
        <v>106000</v>
      </c>
      <c r="L959" t="s">
        <v>140</v>
      </c>
      <c r="M959" t="s">
        <v>140</v>
      </c>
      <c r="N959" t="s">
        <v>345</v>
      </c>
    </row>
    <row r="960" spans="1:14">
      <c r="A960" t="s">
        <v>1253</v>
      </c>
      <c r="B960">
        <v>24600</v>
      </c>
      <c r="C960" t="s">
        <v>171</v>
      </c>
      <c r="D960" t="s">
        <v>169</v>
      </c>
      <c r="E960" t="s">
        <v>35</v>
      </c>
      <c r="F960" t="s">
        <v>227</v>
      </c>
      <c r="G960" t="s">
        <v>26</v>
      </c>
      <c r="H960">
        <v>0</v>
      </c>
      <c r="I960">
        <v>24600</v>
      </c>
      <c r="L960" t="s">
        <v>1254</v>
      </c>
      <c r="M960" t="s">
        <v>1254</v>
      </c>
      <c r="N960" t="s">
        <v>332</v>
      </c>
    </row>
    <row r="961" spans="1:14">
      <c r="A961" t="s">
        <v>300</v>
      </c>
      <c r="B961">
        <v>12300</v>
      </c>
      <c r="C961" t="s">
        <v>171</v>
      </c>
      <c r="D961" t="s">
        <v>20</v>
      </c>
      <c r="E961" t="s">
        <v>35</v>
      </c>
      <c r="F961" t="s">
        <v>227</v>
      </c>
      <c r="G961" t="s">
        <v>26</v>
      </c>
      <c r="H961">
        <v>0</v>
      </c>
      <c r="I961">
        <v>12300</v>
      </c>
      <c r="L961" t="s">
        <v>302</v>
      </c>
      <c r="M961" t="s">
        <v>1260</v>
      </c>
      <c r="N961" t="s">
        <v>303</v>
      </c>
    </row>
    <row r="962" spans="1:14">
      <c r="A962" t="s">
        <v>193</v>
      </c>
      <c r="B962">
        <v>5600</v>
      </c>
      <c r="C962" t="s">
        <v>171</v>
      </c>
      <c r="D962" t="s">
        <v>20</v>
      </c>
      <c r="E962" t="s">
        <v>38</v>
      </c>
      <c r="F962" t="s">
        <v>227</v>
      </c>
      <c r="G962" t="s">
        <v>26</v>
      </c>
      <c r="H962">
        <v>0</v>
      </c>
      <c r="I962">
        <v>5600</v>
      </c>
      <c r="M962" t="s">
        <v>193</v>
      </c>
      <c r="N962" t="s">
        <v>336</v>
      </c>
    </row>
    <row r="964" spans="1:14">
      <c r="A964" s="1" t="s">
        <v>0</v>
      </c>
      <c r="B964" s="1" t="s">
        <v>470</v>
      </c>
    </row>
    <row r="965" spans="1:14">
      <c r="A965" t="s">
        <v>13</v>
      </c>
      <c r="B965" t="s">
        <v>328</v>
      </c>
    </row>
    <row r="966" spans="1:14">
      <c r="A966" t="s">
        <v>1</v>
      </c>
      <c r="B966" t="s">
        <v>20</v>
      </c>
    </row>
    <row r="967" spans="1:14">
      <c r="A967" t="s">
        <v>2</v>
      </c>
      <c r="B967">
        <v>1</v>
      </c>
    </row>
    <row r="968" spans="1:14">
      <c r="A968" t="s">
        <v>3</v>
      </c>
      <c r="B968" t="s">
        <v>470</v>
      </c>
    </row>
    <row r="969" spans="1:14">
      <c r="A969" t="s">
        <v>5</v>
      </c>
      <c r="B969" t="s">
        <v>6</v>
      </c>
    </row>
    <row r="970" spans="1:14">
      <c r="A970" t="s">
        <v>7</v>
      </c>
      <c r="B970" t="s">
        <v>7</v>
      </c>
    </row>
    <row r="971" spans="1:14">
      <c r="A971" s="1" t="s">
        <v>14</v>
      </c>
    </row>
    <row r="972" spans="1:14">
      <c r="A972" t="s">
        <v>15</v>
      </c>
      <c r="B972" t="s">
        <v>16</v>
      </c>
      <c r="C972" t="s">
        <v>17</v>
      </c>
      <c r="D972" t="s">
        <v>1</v>
      </c>
      <c r="E972" t="s">
        <v>7</v>
      </c>
      <c r="F972" t="s">
        <v>18</v>
      </c>
      <c r="G972" t="s">
        <v>5</v>
      </c>
      <c r="H972" t="s">
        <v>203</v>
      </c>
      <c r="I972" t="s">
        <v>204</v>
      </c>
      <c r="J972" t="s">
        <v>206</v>
      </c>
      <c r="K972" t="s">
        <v>13</v>
      </c>
      <c r="L972" t="s">
        <v>208</v>
      </c>
      <c r="M972" t="s">
        <v>3</v>
      </c>
      <c r="N972" t="s">
        <v>209</v>
      </c>
    </row>
    <row r="973" spans="1:14">
      <c r="A973" t="s">
        <v>470</v>
      </c>
      <c r="B973">
        <v>1</v>
      </c>
      <c r="C973" t="s">
        <v>1413</v>
      </c>
      <c r="D973" t="s">
        <v>20</v>
      </c>
      <c r="E973" t="s">
        <v>7</v>
      </c>
      <c r="F973" t="s">
        <v>224</v>
      </c>
      <c r="G973" t="s">
        <v>24</v>
      </c>
      <c r="J973">
        <v>100</v>
      </c>
      <c r="M973" t="s">
        <v>470</v>
      </c>
    </row>
    <row r="974" spans="1:14">
      <c r="A974" t="s">
        <v>145</v>
      </c>
      <c r="B974">
        <v>38600</v>
      </c>
      <c r="C974" t="s">
        <v>171</v>
      </c>
      <c r="D974" t="s">
        <v>34</v>
      </c>
      <c r="E974" t="s">
        <v>38</v>
      </c>
      <c r="F974" t="s">
        <v>227</v>
      </c>
      <c r="G974" t="s">
        <v>26</v>
      </c>
      <c r="H974">
        <v>0</v>
      </c>
      <c r="I974">
        <v>38600</v>
      </c>
      <c r="L974" t="s">
        <v>146</v>
      </c>
      <c r="M974" t="s">
        <v>146</v>
      </c>
      <c r="N974" t="s">
        <v>341</v>
      </c>
    </row>
    <row r="975" spans="1:14">
      <c r="A975" t="s">
        <v>342</v>
      </c>
      <c r="B975">
        <v>461000</v>
      </c>
      <c r="C975" t="s">
        <v>171</v>
      </c>
      <c r="D975" t="s">
        <v>34</v>
      </c>
      <c r="E975" t="s">
        <v>38</v>
      </c>
      <c r="F975" t="s">
        <v>227</v>
      </c>
      <c r="G975" t="s">
        <v>26</v>
      </c>
      <c r="H975">
        <v>0</v>
      </c>
      <c r="I975">
        <v>461000</v>
      </c>
      <c r="L975" t="s">
        <v>343</v>
      </c>
      <c r="M975" t="s">
        <v>343</v>
      </c>
      <c r="N975" t="s">
        <v>344</v>
      </c>
    </row>
    <row r="976" spans="1:14">
      <c r="A976" t="s">
        <v>139</v>
      </c>
      <c r="B976">
        <v>500000</v>
      </c>
      <c r="C976" t="s">
        <v>171</v>
      </c>
      <c r="D976" t="s">
        <v>34</v>
      </c>
      <c r="E976" t="s">
        <v>38</v>
      </c>
      <c r="F976" t="s">
        <v>227</v>
      </c>
      <c r="G976" t="s">
        <v>26</v>
      </c>
      <c r="H976">
        <v>0</v>
      </c>
      <c r="I976">
        <v>500000</v>
      </c>
      <c r="L976" t="s">
        <v>140</v>
      </c>
      <c r="M976" t="s">
        <v>140</v>
      </c>
      <c r="N976" t="s">
        <v>345</v>
      </c>
    </row>
    <row r="977" spans="1:14">
      <c r="A977" t="s">
        <v>1253</v>
      </c>
      <c r="B977">
        <v>110000</v>
      </c>
      <c r="C977" t="s">
        <v>171</v>
      </c>
      <c r="D977" t="s">
        <v>169</v>
      </c>
      <c r="E977" t="s">
        <v>35</v>
      </c>
      <c r="F977" t="s">
        <v>227</v>
      </c>
      <c r="G977" t="s">
        <v>26</v>
      </c>
      <c r="H977">
        <v>0</v>
      </c>
      <c r="I977">
        <v>110000</v>
      </c>
      <c r="L977" t="s">
        <v>1254</v>
      </c>
      <c r="M977" t="s">
        <v>1254</v>
      </c>
      <c r="N977" t="s">
        <v>332</v>
      </c>
    </row>
    <row r="978" spans="1:14">
      <c r="A978" t="s">
        <v>300</v>
      </c>
      <c r="B978">
        <v>55000</v>
      </c>
      <c r="C978" t="s">
        <v>171</v>
      </c>
      <c r="D978" t="s">
        <v>20</v>
      </c>
      <c r="E978" t="s">
        <v>35</v>
      </c>
      <c r="F978" t="s">
        <v>227</v>
      </c>
      <c r="G978" t="s">
        <v>26</v>
      </c>
      <c r="H978">
        <v>0</v>
      </c>
      <c r="I978">
        <v>55000</v>
      </c>
      <c r="L978" t="s">
        <v>302</v>
      </c>
      <c r="M978" t="s">
        <v>1260</v>
      </c>
      <c r="N978" t="s">
        <v>303</v>
      </c>
    </row>
    <row r="980" spans="1:14">
      <c r="A980" s="1" t="s">
        <v>0</v>
      </c>
      <c r="B980" s="1" t="s">
        <v>455</v>
      </c>
    </row>
    <row r="981" spans="1:14">
      <c r="A981" t="s">
        <v>13</v>
      </c>
      <c r="B981" t="s">
        <v>328</v>
      </c>
    </row>
    <row r="982" spans="1:14">
      <c r="A982" t="s">
        <v>1</v>
      </c>
      <c r="B982" t="s">
        <v>20</v>
      </c>
    </row>
    <row r="983" spans="1:14">
      <c r="A983" t="s">
        <v>2</v>
      </c>
      <c r="B983">
        <v>1</v>
      </c>
    </row>
    <row r="984" spans="1:14">
      <c r="A984" t="s">
        <v>3</v>
      </c>
      <c r="B984" t="s">
        <v>455</v>
      </c>
    </row>
    <row r="985" spans="1:14">
      <c r="A985" t="s">
        <v>5</v>
      </c>
      <c r="B985" t="s">
        <v>6</v>
      </c>
    </row>
    <row r="986" spans="1:14">
      <c r="A986" t="s">
        <v>7</v>
      </c>
      <c r="B986" t="s">
        <v>7</v>
      </c>
    </row>
    <row r="987" spans="1:14">
      <c r="A987" s="1" t="s">
        <v>14</v>
      </c>
    </row>
    <row r="988" spans="1:14">
      <c r="A988" t="s">
        <v>15</v>
      </c>
      <c r="B988" t="s">
        <v>16</v>
      </c>
      <c r="C988" t="s">
        <v>17</v>
      </c>
      <c r="D988" t="s">
        <v>1</v>
      </c>
      <c r="E988" t="s">
        <v>7</v>
      </c>
      <c r="F988" t="s">
        <v>18</v>
      </c>
      <c r="G988" t="s">
        <v>5</v>
      </c>
      <c r="H988" t="s">
        <v>203</v>
      </c>
      <c r="I988" t="s">
        <v>204</v>
      </c>
      <c r="J988" t="s">
        <v>206</v>
      </c>
      <c r="K988" t="s">
        <v>13</v>
      </c>
      <c r="L988" t="s">
        <v>208</v>
      </c>
      <c r="M988" t="s">
        <v>3</v>
      </c>
      <c r="N988" t="s">
        <v>209</v>
      </c>
    </row>
    <row r="989" spans="1:14">
      <c r="A989" t="s">
        <v>455</v>
      </c>
      <c r="B989">
        <v>1</v>
      </c>
      <c r="C989" t="s">
        <v>1413</v>
      </c>
      <c r="D989" t="s">
        <v>20</v>
      </c>
      <c r="E989" t="s">
        <v>7</v>
      </c>
      <c r="F989" t="s">
        <v>224</v>
      </c>
      <c r="G989" t="s">
        <v>24</v>
      </c>
      <c r="J989">
        <v>100</v>
      </c>
      <c r="M989" t="s">
        <v>455</v>
      </c>
    </row>
    <row r="990" spans="1:14">
      <c r="A990" t="s">
        <v>342</v>
      </c>
      <c r="B990">
        <v>953000</v>
      </c>
      <c r="C990" t="s">
        <v>171</v>
      </c>
      <c r="D990" t="s">
        <v>34</v>
      </c>
      <c r="E990" t="s">
        <v>38</v>
      </c>
      <c r="F990" t="s">
        <v>227</v>
      </c>
      <c r="G990" t="s">
        <v>26</v>
      </c>
      <c r="H990">
        <v>0</v>
      </c>
      <c r="I990">
        <v>953000</v>
      </c>
      <c r="L990" t="s">
        <v>343</v>
      </c>
      <c r="M990" t="s">
        <v>343</v>
      </c>
      <c r="N990" t="s">
        <v>344</v>
      </c>
    </row>
    <row r="991" spans="1:14">
      <c r="A991" t="s">
        <v>39</v>
      </c>
      <c r="B991">
        <v>953000</v>
      </c>
      <c r="C991" t="s">
        <v>171</v>
      </c>
      <c r="D991" t="s">
        <v>34</v>
      </c>
      <c r="E991" t="s">
        <v>38</v>
      </c>
      <c r="F991" t="s">
        <v>227</v>
      </c>
      <c r="G991" t="s">
        <v>26</v>
      </c>
      <c r="H991">
        <v>0</v>
      </c>
      <c r="I991">
        <v>953000</v>
      </c>
      <c r="L991" t="s">
        <v>40</v>
      </c>
      <c r="M991" t="s">
        <v>40</v>
      </c>
      <c r="N991" t="s">
        <v>299</v>
      </c>
    </row>
    <row r="992" spans="1:14">
      <c r="A992" t="s">
        <v>1253</v>
      </c>
      <c r="B992">
        <v>210000</v>
      </c>
      <c r="C992" t="s">
        <v>171</v>
      </c>
      <c r="D992" t="s">
        <v>169</v>
      </c>
      <c r="E992" t="s">
        <v>35</v>
      </c>
      <c r="F992" t="s">
        <v>227</v>
      </c>
      <c r="G992" t="s">
        <v>26</v>
      </c>
      <c r="H992">
        <v>0</v>
      </c>
      <c r="I992">
        <v>210000</v>
      </c>
      <c r="L992" t="s">
        <v>1254</v>
      </c>
      <c r="M992" t="s">
        <v>1254</v>
      </c>
      <c r="N992" t="s">
        <v>332</v>
      </c>
    </row>
    <row r="993" spans="1:14">
      <c r="A993" t="s">
        <v>300</v>
      </c>
      <c r="B993">
        <v>105000</v>
      </c>
      <c r="C993" t="s">
        <v>171</v>
      </c>
      <c r="D993" t="s">
        <v>20</v>
      </c>
      <c r="E993" t="s">
        <v>35</v>
      </c>
      <c r="F993" t="s">
        <v>227</v>
      </c>
      <c r="G993" t="s">
        <v>26</v>
      </c>
      <c r="H993">
        <v>0</v>
      </c>
      <c r="I993">
        <v>105000</v>
      </c>
      <c r="L993" t="s">
        <v>302</v>
      </c>
      <c r="M993" t="s">
        <v>1260</v>
      </c>
      <c r="N993" t="s">
        <v>303</v>
      </c>
    </row>
    <row r="995" spans="1:14">
      <c r="A995" s="1" t="s">
        <v>0</v>
      </c>
      <c r="B995" s="1" t="s">
        <v>456</v>
      </c>
    </row>
    <row r="996" spans="1:14">
      <c r="A996" t="s">
        <v>13</v>
      </c>
      <c r="B996" t="s">
        <v>328</v>
      </c>
    </row>
    <row r="997" spans="1:14">
      <c r="A997" t="s">
        <v>1</v>
      </c>
      <c r="B997" t="s">
        <v>20</v>
      </c>
    </row>
    <row r="998" spans="1:14">
      <c r="A998" t="s">
        <v>2</v>
      </c>
      <c r="B998">
        <v>1</v>
      </c>
    </row>
    <row r="999" spans="1:14">
      <c r="A999" t="s">
        <v>3</v>
      </c>
      <c r="B999" t="s">
        <v>456</v>
      </c>
    </row>
    <row r="1000" spans="1:14">
      <c r="A1000" t="s">
        <v>5</v>
      </c>
      <c r="B1000" t="s">
        <v>6</v>
      </c>
    </row>
    <row r="1001" spans="1:14">
      <c r="A1001" t="s">
        <v>7</v>
      </c>
      <c r="B1001" t="s">
        <v>7</v>
      </c>
    </row>
    <row r="1002" spans="1:14">
      <c r="A1002" s="1" t="s">
        <v>14</v>
      </c>
    </row>
    <row r="1003" spans="1:14">
      <c r="A1003" t="s">
        <v>15</v>
      </c>
      <c r="B1003" t="s">
        <v>16</v>
      </c>
      <c r="C1003" t="s">
        <v>17</v>
      </c>
      <c r="D1003" t="s">
        <v>1</v>
      </c>
      <c r="E1003" t="s">
        <v>7</v>
      </c>
      <c r="F1003" t="s">
        <v>18</v>
      </c>
      <c r="G1003" t="s">
        <v>5</v>
      </c>
      <c r="H1003" t="s">
        <v>203</v>
      </c>
      <c r="I1003" t="s">
        <v>204</v>
      </c>
      <c r="J1003" t="s">
        <v>206</v>
      </c>
      <c r="K1003" t="s">
        <v>13</v>
      </c>
      <c r="L1003" t="s">
        <v>208</v>
      </c>
      <c r="M1003" t="s">
        <v>3</v>
      </c>
      <c r="N1003" t="s">
        <v>209</v>
      </c>
    </row>
    <row r="1004" spans="1:14">
      <c r="A1004" t="s">
        <v>456</v>
      </c>
      <c r="B1004">
        <v>1</v>
      </c>
      <c r="C1004" t="s">
        <v>1413</v>
      </c>
      <c r="D1004" t="s">
        <v>20</v>
      </c>
      <c r="E1004" t="s">
        <v>7</v>
      </c>
      <c r="F1004" t="s">
        <v>224</v>
      </c>
      <c r="G1004" t="s">
        <v>24</v>
      </c>
      <c r="J1004">
        <v>100</v>
      </c>
      <c r="M1004" t="s">
        <v>456</v>
      </c>
    </row>
    <row r="1005" spans="1:14">
      <c r="A1005" t="s">
        <v>342</v>
      </c>
      <c r="B1005">
        <v>1030000</v>
      </c>
      <c r="C1005" t="s">
        <v>171</v>
      </c>
      <c r="D1005" t="s">
        <v>34</v>
      </c>
      <c r="E1005" t="s">
        <v>38</v>
      </c>
      <c r="F1005" t="s">
        <v>227</v>
      </c>
      <c r="G1005" t="s">
        <v>26</v>
      </c>
      <c r="H1005">
        <v>0</v>
      </c>
      <c r="I1005">
        <v>1030000</v>
      </c>
      <c r="L1005" t="s">
        <v>343</v>
      </c>
      <c r="M1005" t="s">
        <v>343</v>
      </c>
      <c r="N1005" t="s">
        <v>344</v>
      </c>
    </row>
    <row r="1006" spans="1:14">
      <c r="A1006" t="s">
        <v>139</v>
      </c>
      <c r="B1006">
        <v>1030000</v>
      </c>
      <c r="C1006" t="s">
        <v>171</v>
      </c>
      <c r="D1006" t="s">
        <v>34</v>
      </c>
      <c r="E1006" t="s">
        <v>38</v>
      </c>
      <c r="F1006" t="s">
        <v>227</v>
      </c>
      <c r="G1006" t="s">
        <v>26</v>
      </c>
      <c r="H1006">
        <v>0</v>
      </c>
      <c r="I1006">
        <v>1030000</v>
      </c>
      <c r="L1006" t="s">
        <v>140</v>
      </c>
      <c r="M1006" t="s">
        <v>140</v>
      </c>
      <c r="N1006" t="s">
        <v>345</v>
      </c>
    </row>
    <row r="1007" spans="1:14">
      <c r="A1007" t="s">
        <v>1253</v>
      </c>
      <c r="B1007">
        <v>227000</v>
      </c>
      <c r="C1007" t="s">
        <v>171</v>
      </c>
      <c r="D1007" t="s">
        <v>169</v>
      </c>
      <c r="E1007" t="s">
        <v>35</v>
      </c>
      <c r="F1007" t="s">
        <v>227</v>
      </c>
      <c r="G1007" t="s">
        <v>26</v>
      </c>
      <c r="H1007">
        <v>0</v>
      </c>
      <c r="I1007">
        <v>227000</v>
      </c>
      <c r="L1007" t="s">
        <v>1254</v>
      </c>
      <c r="M1007" t="s">
        <v>1254</v>
      </c>
      <c r="N1007" t="s">
        <v>332</v>
      </c>
    </row>
    <row r="1008" spans="1:14">
      <c r="A1008" t="s">
        <v>300</v>
      </c>
      <c r="B1008">
        <v>113000</v>
      </c>
      <c r="C1008" t="s">
        <v>171</v>
      </c>
      <c r="D1008" t="s">
        <v>20</v>
      </c>
      <c r="E1008" t="s">
        <v>35</v>
      </c>
      <c r="F1008" t="s">
        <v>227</v>
      </c>
      <c r="G1008" t="s">
        <v>26</v>
      </c>
      <c r="H1008">
        <v>0</v>
      </c>
      <c r="I1008">
        <v>113000</v>
      </c>
      <c r="L1008" t="s">
        <v>302</v>
      </c>
      <c r="M1008" t="s">
        <v>1260</v>
      </c>
      <c r="N1008" t="s">
        <v>303</v>
      </c>
    </row>
    <row r="1010" spans="1:14">
      <c r="A1010" s="1" t="s">
        <v>0</v>
      </c>
      <c r="B1010" s="1" t="s">
        <v>475</v>
      </c>
    </row>
    <row r="1011" spans="1:14">
      <c r="A1011" t="s">
        <v>13</v>
      </c>
      <c r="B1011" t="s">
        <v>328</v>
      </c>
    </row>
    <row r="1012" spans="1:14">
      <c r="A1012" t="s">
        <v>1</v>
      </c>
      <c r="B1012" t="s">
        <v>20</v>
      </c>
    </row>
    <row r="1013" spans="1:14">
      <c r="A1013" t="s">
        <v>2</v>
      </c>
      <c r="B1013">
        <v>1</v>
      </c>
    </row>
    <row r="1014" spans="1:14">
      <c r="A1014" t="s">
        <v>3</v>
      </c>
      <c r="B1014" t="s">
        <v>475</v>
      </c>
    </row>
    <row r="1015" spans="1:14">
      <c r="A1015" t="s">
        <v>5</v>
      </c>
      <c r="B1015" t="s">
        <v>6</v>
      </c>
    </row>
    <row r="1016" spans="1:14">
      <c r="A1016" t="s">
        <v>7</v>
      </c>
      <c r="B1016" t="s">
        <v>7</v>
      </c>
    </row>
    <row r="1017" spans="1:14">
      <c r="A1017" s="1" t="s">
        <v>14</v>
      </c>
    </row>
    <row r="1018" spans="1:14">
      <c r="A1018" t="s">
        <v>15</v>
      </c>
      <c r="B1018" t="s">
        <v>16</v>
      </c>
      <c r="C1018" t="s">
        <v>17</v>
      </c>
      <c r="D1018" t="s">
        <v>1</v>
      </c>
      <c r="E1018" t="s">
        <v>7</v>
      </c>
      <c r="F1018" t="s">
        <v>18</v>
      </c>
      <c r="G1018" t="s">
        <v>5</v>
      </c>
      <c r="H1018" t="s">
        <v>203</v>
      </c>
      <c r="I1018" t="s">
        <v>204</v>
      </c>
      <c r="J1018" t="s">
        <v>206</v>
      </c>
      <c r="K1018" t="s">
        <v>13</v>
      </c>
      <c r="L1018" t="s">
        <v>208</v>
      </c>
      <c r="M1018" t="s">
        <v>3</v>
      </c>
      <c r="N1018" t="s">
        <v>209</v>
      </c>
    </row>
    <row r="1019" spans="1:14">
      <c r="A1019" t="s">
        <v>481</v>
      </c>
      <c r="B1019">
        <v>122</v>
      </c>
      <c r="C1019" t="s">
        <v>172</v>
      </c>
      <c r="E1019" t="s">
        <v>38</v>
      </c>
      <c r="F1019" t="s">
        <v>212</v>
      </c>
      <c r="G1019" t="s">
        <v>126</v>
      </c>
      <c r="H1019">
        <v>0</v>
      </c>
      <c r="I1019">
        <v>122</v>
      </c>
    </row>
    <row r="1020" spans="1:14">
      <c r="A1020" t="s">
        <v>475</v>
      </c>
      <c r="B1020">
        <v>1</v>
      </c>
      <c r="C1020" t="s">
        <v>1413</v>
      </c>
      <c r="D1020" t="s">
        <v>20</v>
      </c>
      <c r="E1020" t="s">
        <v>7</v>
      </c>
      <c r="F1020" t="s">
        <v>224</v>
      </c>
      <c r="G1020" t="s">
        <v>24</v>
      </c>
      <c r="J1020">
        <v>100</v>
      </c>
      <c r="M1020" t="s">
        <v>475</v>
      </c>
    </row>
    <row r="1021" spans="1:14">
      <c r="A1021" t="s">
        <v>41</v>
      </c>
      <c r="B1021">
        <v>27100</v>
      </c>
      <c r="C1021" t="s">
        <v>171</v>
      </c>
      <c r="D1021" t="s">
        <v>42</v>
      </c>
      <c r="E1021" t="s">
        <v>38</v>
      </c>
      <c r="F1021" t="s">
        <v>227</v>
      </c>
      <c r="G1021" t="s">
        <v>26</v>
      </c>
      <c r="H1021">
        <v>0</v>
      </c>
      <c r="I1021">
        <v>27100</v>
      </c>
      <c r="L1021" t="s">
        <v>43</v>
      </c>
      <c r="M1021" t="s">
        <v>43</v>
      </c>
      <c r="N1021" t="s">
        <v>386</v>
      </c>
    </row>
    <row r="1022" spans="1:14">
      <c r="A1022" t="s">
        <v>67</v>
      </c>
      <c r="B1022">
        <v>3470</v>
      </c>
      <c r="C1022" t="s">
        <v>171</v>
      </c>
      <c r="D1022" t="s">
        <v>34</v>
      </c>
      <c r="E1022" t="s">
        <v>38</v>
      </c>
      <c r="F1022" t="s">
        <v>227</v>
      </c>
      <c r="G1022" t="s">
        <v>26</v>
      </c>
      <c r="H1022">
        <v>0</v>
      </c>
      <c r="I1022">
        <v>3470</v>
      </c>
      <c r="L1022" t="s">
        <v>68</v>
      </c>
      <c r="M1022" t="s">
        <v>68</v>
      </c>
      <c r="N1022" t="s">
        <v>330</v>
      </c>
    </row>
    <row r="1023" spans="1:14">
      <c r="A1023" t="s">
        <v>482</v>
      </c>
      <c r="B1023">
        <v>1390</v>
      </c>
      <c r="C1023" t="s">
        <v>171</v>
      </c>
      <c r="D1023" t="s">
        <v>34</v>
      </c>
      <c r="E1023" t="s">
        <v>38</v>
      </c>
      <c r="F1023" t="s">
        <v>227</v>
      </c>
      <c r="G1023" t="s">
        <v>26</v>
      </c>
      <c r="H1023">
        <v>0</v>
      </c>
      <c r="I1023">
        <v>1390</v>
      </c>
      <c r="L1023" t="s">
        <v>483</v>
      </c>
      <c r="M1023" t="s">
        <v>483</v>
      </c>
      <c r="N1023" t="s">
        <v>484</v>
      </c>
    </row>
    <row r="1024" spans="1:14">
      <c r="A1024" t="s">
        <v>164</v>
      </c>
      <c r="B1024">
        <v>27</v>
      </c>
      <c r="C1024" t="s">
        <v>171</v>
      </c>
      <c r="D1024" t="s">
        <v>20</v>
      </c>
      <c r="E1024" t="s">
        <v>38</v>
      </c>
      <c r="F1024" t="s">
        <v>227</v>
      </c>
      <c r="G1024" t="s">
        <v>26</v>
      </c>
      <c r="H1024">
        <v>0</v>
      </c>
      <c r="I1024">
        <v>27</v>
      </c>
      <c r="L1024" t="s">
        <v>165</v>
      </c>
      <c r="M1024" t="s">
        <v>165</v>
      </c>
      <c r="N1024" t="s">
        <v>485</v>
      </c>
    </row>
    <row r="1025" spans="1:14">
      <c r="A1025" t="s">
        <v>465</v>
      </c>
      <c r="B1025">
        <v>14</v>
      </c>
      <c r="C1025" t="s">
        <v>171</v>
      </c>
      <c r="D1025" t="s">
        <v>34</v>
      </c>
      <c r="E1025" t="s">
        <v>38</v>
      </c>
      <c r="F1025" t="s">
        <v>227</v>
      </c>
      <c r="G1025" t="s">
        <v>26</v>
      </c>
      <c r="H1025">
        <v>0</v>
      </c>
      <c r="I1025">
        <v>14</v>
      </c>
      <c r="L1025" t="s">
        <v>466</v>
      </c>
      <c r="M1025" t="s">
        <v>466</v>
      </c>
      <c r="N1025" t="s">
        <v>467</v>
      </c>
    </row>
    <row r="1026" spans="1:14">
      <c r="A1026" t="s">
        <v>82</v>
      </c>
      <c r="B1026">
        <v>200</v>
      </c>
      <c r="C1026" t="s">
        <v>171</v>
      </c>
      <c r="D1026" t="s">
        <v>20</v>
      </c>
      <c r="E1026" t="s">
        <v>38</v>
      </c>
      <c r="F1026" t="s">
        <v>227</v>
      </c>
      <c r="G1026" t="s">
        <v>26</v>
      </c>
      <c r="H1026">
        <v>0</v>
      </c>
      <c r="I1026">
        <v>200</v>
      </c>
      <c r="L1026" t="s">
        <v>83</v>
      </c>
      <c r="M1026" t="s">
        <v>83</v>
      </c>
      <c r="N1026" t="s">
        <v>387</v>
      </c>
    </row>
    <row r="1027" spans="1:14">
      <c r="A1027" t="s">
        <v>46</v>
      </c>
      <c r="B1027">
        <v>900</v>
      </c>
      <c r="C1027" t="s">
        <v>171</v>
      </c>
      <c r="D1027" t="s">
        <v>34</v>
      </c>
      <c r="E1027" t="s">
        <v>38</v>
      </c>
      <c r="F1027" t="s">
        <v>227</v>
      </c>
      <c r="G1027" t="s">
        <v>26</v>
      </c>
      <c r="H1027">
        <v>0</v>
      </c>
      <c r="I1027">
        <v>900</v>
      </c>
      <c r="L1027" t="s">
        <v>47</v>
      </c>
      <c r="M1027" t="s">
        <v>47</v>
      </c>
      <c r="N1027" t="s">
        <v>486</v>
      </c>
    </row>
    <row r="1028" spans="1:14">
      <c r="A1028" t="s">
        <v>39</v>
      </c>
      <c r="B1028">
        <v>11100</v>
      </c>
      <c r="C1028" t="s">
        <v>171</v>
      </c>
      <c r="D1028" t="s">
        <v>34</v>
      </c>
      <c r="E1028" t="s">
        <v>38</v>
      </c>
      <c r="F1028" t="s">
        <v>227</v>
      </c>
      <c r="G1028" t="s">
        <v>26</v>
      </c>
      <c r="H1028">
        <v>0</v>
      </c>
      <c r="I1028">
        <v>11100</v>
      </c>
      <c r="L1028" t="s">
        <v>40</v>
      </c>
      <c r="M1028" t="s">
        <v>40</v>
      </c>
      <c r="N1028" t="s">
        <v>299</v>
      </c>
    </row>
    <row r="1029" spans="1:14">
      <c r="A1029" t="s">
        <v>53</v>
      </c>
      <c r="B1029">
        <v>610</v>
      </c>
      <c r="C1029" t="s">
        <v>171</v>
      </c>
      <c r="D1029" t="s">
        <v>20</v>
      </c>
      <c r="E1029" t="s">
        <v>38</v>
      </c>
      <c r="F1029" t="s">
        <v>227</v>
      </c>
      <c r="G1029" t="s">
        <v>26</v>
      </c>
      <c r="H1029">
        <v>0</v>
      </c>
      <c r="I1029">
        <v>610</v>
      </c>
      <c r="L1029" t="s">
        <v>54</v>
      </c>
      <c r="M1029" t="s">
        <v>54</v>
      </c>
      <c r="N1029" t="s">
        <v>487</v>
      </c>
    </row>
    <row r="1030" spans="1:14">
      <c r="A1030" t="s">
        <v>78</v>
      </c>
      <c r="B1030">
        <v>125</v>
      </c>
      <c r="C1030" t="s">
        <v>171</v>
      </c>
      <c r="D1030" t="s">
        <v>34</v>
      </c>
      <c r="E1030" t="s">
        <v>38</v>
      </c>
      <c r="F1030" t="s">
        <v>227</v>
      </c>
      <c r="G1030" t="s">
        <v>26</v>
      </c>
      <c r="H1030">
        <v>0</v>
      </c>
      <c r="I1030">
        <v>125</v>
      </c>
      <c r="L1030" t="s">
        <v>79</v>
      </c>
      <c r="M1030" t="s">
        <v>79</v>
      </c>
      <c r="N1030" t="s">
        <v>391</v>
      </c>
    </row>
    <row r="1031" spans="1:14">
      <c r="A1031" t="s">
        <v>1253</v>
      </c>
      <c r="B1031">
        <v>15100</v>
      </c>
      <c r="C1031" t="s">
        <v>171</v>
      </c>
      <c r="D1031" t="s">
        <v>169</v>
      </c>
      <c r="E1031" t="s">
        <v>35</v>
      </c>
      <c r="F1031" t="s">
        <v>227</v>
      </c>
      <c r="G1031" t="s">
        <v>26</v>
      </c>
      <c r="H1031">
        <v>0</v>
      </c>
      <c r="I1031">
        <v>15100</v>
      </c>
      <c r="L1031" t="s">
        <v>1254</v>
      </c>
      <c r="M1031" t="s">
        <v>1254</v>
      </c>
      <c r="N1031" t="s">
        <v>332</v>
      </c>
    </row>
    <row r="1032" spans="1:14">
      <c r="A1032" t="s">
        <v>300</v>
      </c>
      <c r="B1032">
        <v>2250</v>
      </c>
      <c r="C1032" t="s">
        <v>171</v>
      </c>
      <c r="D1032" t="s">
        <v>20</v>
      </c>
      <c r="E1032" t="s">
        <v>35</v>
      </c>
      <c r="F1032" t="s">
        <v>227</v>
      </c>
      <c r="G1032" t="s">
        <v>26</v>
      </c>
      <c r="H1032">
        <v>0</v>
      </c>
      <c r="I1032">
        <v>2250</v>
      </c>
      <c r="L1032" t="s">
        <v>302</v>
      </c>
      <c r="M1032" t="s">
        <v>1260</v>
      </c>
      <c r="N1032" t="s">
        <v>303</v>
      </c>
    </row>
    <row r="1033" spans="1:14">
      <c r="A1033" t="s">
        <v>395</v>
      </c>
      <c r="B1033">
        <v>15</v>
      </c>
      <c r="C1033" t="s">
        <v>171</v>
      </c>
      <c r="D1033" t="s">
        <v>20</v>
      </c>
      <c r="E1033" t="s">
        <v>38</v>
      </c>
      <c r="F1033" t="s">
        <v>227</v>
      </c>
      <c r="G1033" t="s">
        <v>26</v>
      </c>
      <c r="H1033">
        <v>0</v>
      </c>
      <c r="I1033">
        <v>15</v>
      </c>
      <c r="L1033" t="s">
        <v>62</v>
      </c>
      <c r="M1033" t="s">
        <v>62</v>
      </c>
      <c r="N1033" t="s">
        <v>396</v>
      </c>
    </row>
    <row r="1034" spans="1:14">
      <c r="A1034" t="s">
        <v>191</v>
      </c>
      <c r="B1034">
        <v>11100</v>
      </c>
      <c r="C1034" t="s">
        <v>171</v>
      </c>
      <c r="D1034" t="s">
        <v>20</v>
      </c>
      <c r="E1034" t="s">
        <v>38</v>
      </c>
      <c r="F1034" t="s">
        <v>227</v>
      </c>
      <c r="G1034" t="s">
        <v>26</v>
      </c>
      <c r="H1034">
        <v>0</v>
      </c>
      <c r="I1034">
        <v>11100</v>
      </c>
      <c r="M1034" t="s">
        <v>191</v>
      </c>
      <c r="N1034" t="s">
        <v>335</v>
      </c>
    </row>
    <row r="1035" spans="1:14">
      <c r="A1035" t="s">
        <v>401</v>
      </c>
      <c r="B1035">
        <v>0.11700000000000001</v>
      </c>
      <c r="C1035" t="s">
        <v>171</v>
      </c>
      <c r="D1035" t="s">
        <v>20</v>
      </c>
      <c r="E1035" t="s">
        <v>119</v>
      </c>
      <c r="F1035" t="s">
        <v>227</v>
      </c>
      <c r="G1035" t="s">
        <v>26</v>
      </c>
      <c r="H1035">
        <v>0</v>
      </c>
      <c r="I1035">
        <v>0.11700000000000001</v>
      </c>
      <c r="L1035" t="s">
        <v>402</v>
      </c>
      <c r="M1035" t="s">
        <v>402</v>
      </c>
      <c r="N1035" t="s">
        <v>403</v>
      </c>
    </row>
    <row r="1036" spans="1:14">
      <c r="A1036" t="s">
        <v>193</v>
      </c>
      <c r="B1036">
        <v>2560</v>
      </c>
      <c r="C1036" t="s">
        <v>171</v>
      </c>
      <c r="D1036" t="s">
        <v>20</v>
      </c>
      <c r="E1036" t="s">
        <v>38</v>
      </c>
      <c r="F1036" t="s">
        <v>227</v>
      </c>
      <c r="G1036" t="s">
        <v>26</v>
      </c>
      <c r="H1036">
        <v>0</v>
      </c>
      <c r="I1036">
        <v>2560</v>
      </c>
      <c r="M1036" t="s">
        <v>193</v>
      </c>
      <c r="N1036" t="s">
        <v>336</v>
      </c>
    </row>
    <row r="1037" spans="1:14">
      <c r="A1037" t="s">
        <v>488</v>
      </c>
      <c r="B1037">
        <v>25</v>
      </c>
      <c r="C1037" t="s">
        <v>171</v>
      </c>
      <c r="D1037" t="s">
        <v>20</v>
      </c>
      <c r="E1037" t="s">
        <v>114</v>
      </c>
      <c r="F1037" t="s">
        <v>227</v>
      </c>
      <c r="G1037" t="s">
        <v>26</v>
      </c>
      <c r="H1037">
        <v>0</v>
      </c>
      <c r="I1037">
        <v>25</v>
      </c>
      <c r="M1037" t="s">
        <v>489</v>
      </c>
      <c r="N1037" t="s">
        <v>490</v>
      </c>
    </row>
    <row r="1039" spans="1:14">
      <c r="A1039" s="1" t="s">
        <v>0</v>
      </c>
      <c r="B1039" s="1" t="s">
        <v>457</v>
      </c>
    </row>
    <row r="1040" spans="1:14">
      <c r="A1040" t="s">
        <v>13</v>
      </c>
      <c r="B1040" t="s">
        <v>328</v>
      </c>
    </row>
    <row r="1041" spans="1:14">
      <c r="A1041" t="s">
        <v>1</v>
      </c>
      <c r="B1041" t="s">
        <v>20</v>
      </c>
    </row>
    <row r="1042" spans="1:14">
      <c r="A1042" t="s">
        <v>2</v>
      </c>
      <c r="B1042">
        <v>1</v>
      </c>
    </row>
    <row r="1043" spans="1:14">
      <c r="A1043" t="s">
        <v>3</v>
      </c>
      <c r="B1043" t="s">
        <v>457</v>
      </c>
    </row>
    <row r="1044" spans="1:14">
      <c r="A1044" t="s">
        <v>5</v>
      </c>
      <c r="B1044" t="s">
        <v>6</v>
      </c>
    </row>
    <row r="1045" spans="1:14">
      <c r="A1045" t="s">
        <v>7</v>
      </c>
      <c r="B1045" t="s">
        <v>7</v>
      </c>
    </row>
    <row r="1046" spans="1:14">
      <c r="A1046" s="1" t="s">
        <v>14</v>
      </c>
    </row>
    <row r="1047" spans="1:14">
      <c r="A1047" t="s">
        <v>15</v>
      </c>
      <c r="B1047" t="s">
        <v>16</v>
      </c>
      <c r="C1047" t="s">
        <v>17</v>
      </c>
      <c r="D1047" t="s">
        <v>1</v>
      </c>
      <c r="E1047" t="s">
        <v>7</v>
      </c>
      <c r="F1047" t="s">
        <v>18</v>
      </c>
      <c r="G1047" t="s">
        <v>5</v>
      </c>
      <c r="H1047" t="s">
        <v>203</v>
      </c>
      <c r="I1047" t="s">
        <v>204</v>
      </c>
      <c r="J1047" t="s">
        <v>206</v>
      </c>
      <c r="K1047" t="s">
        <v>13</v>
      </c>
      <c r="L1047" t="s">
        <v>208</v>
      </c>
      <c r="M1047" t="s">
        <v>3</v>
      </c>
      <c r="N1047" t="s">
        <v>209</v>
      </c>
    </row>
    <row r="1048" spans="1:14">
      <c r="A1048" t="s">
        <v>457</v>
      </c>
      <c r="B1048">
        <v>1</v>
      </c>
      <c r="C1048" t="s">
        <v>1413</v>
      </c>
      <c r="D1048" t="s">
        <v>20</v>
      </c>
      <c r="E1048" t="s">
        <v>7</v>
      </c>
      <c r="F1048" t="s">
        <v>224</v>
      </c>
      <c r="G1048" t="s">
        <v>24</v>
      </c>
      <c r="J1048">
        <v>100</v>
      </c>
      <c r="M1048" t="s">
        <v>457</v>
      </c>
    </row>
    <row r="1049" spans="1:14">
      <c r="A1049" t="s">
        <v>41</v>
      </c>
      <c r="B1049">
        <v>61.2</v>
      </c>
      <c r="C1049" t="s">
        <v>171</v>
      </c>
      <c r="D1049" t="s">
        <v>42</v>
      </c>
      <c r="E1049" t="s">
        <v>38</v>
      </c>
      <c r="F1049" t="s">
        <v>227</v>
      </c>
      <c r="G1049" t="s">
        <v>26</v>
      </c>
      <c r="H1049">
        <v>0</v>
      </c>
      <c r="I1049">
        <v>61.2</v>
      </c>
      <c r="L1049" t="s">
        <v>43</v>
      </c>
      <c r="M1049" t="s">
        <v>43</v>
      </c>
      <c r="N1049" t="s">
        <v>386</v>
      </c>
    </row>
    <row r="1050" spans="1:14">
      <c r="A1050" t="s">
        <v>67</v>
      </c>
      <c r="B1050">
        <v>303</v>
      </c>
      <c r="C1050" t="s">
        <v>171</v>
      </c>
      <c r="D1050" t="s">
        <v>34</v>
      </c>
      <c r="E1050" t="s">
        <v>38</v>
      </c>
      <c r="F1050" t="s">
        <v>227</v>
      </c>
      <c r="G1050" t="s">
        <v>26</v>
      </c>
      <c r="H1050">
        <v>0</v>
      </c>
      <c r="I1050">
        <v>303</v>
      </c>
      <c r="L1050" t="s">
        <v>68</v>
      </c>
      <c r="M1050" t="s">
        <v>68</v>
      </c>
      <c r="N1050" t="s">
        <v>330</v>
      </c>
    </row>
    <row r="1051" spans="1:14">
      <c r="A1051" t="s">
        <v>342</v>
      </c>
      <c r="B1051">
        <v>89.6</v>
      </c>
      <c r="C1051" t="s">
        <v>171</v>
      </c>
      <c r="D1051" t="s">
        <v>34</v>
      </c>
      <c r="E1051" t="s">
        <v>38</v>
      </c>
      <c r="F1051" t="s">
        <v>227</v>
      </c>
      <c r="G1051" t="s">
        <v>26</v>
      </c>
      <c r="H1051">
        <v>0</v>
      </c>
      <c r="I1051">
        <v>89.6</v>
      </c>
      <c r="L1051" t="s">
        <v>343</v>
      </c>
      <c r="M1051" t="s">
        <v>343</v>
      </c>
      <c r="N1051" t="s">
        <v>344</v>
      </c>
    </row>
    <row r="1052" spans="1:14">
      <c r="A1052" t="s">
        <v>82</v>
      </c>
      <c r="B1052">
        <v>0.34</v>
      </c>
      <c r="C1052" t="s">
        <v>171</v>
      </c>
      <c r="D1052" t="s">
        <v>20</v>
      </c>
      <c r="E1052" t="s">
        <v>38</v>
      </c>
      <c r="F1052" t="s">
        <v>227</v>
      </c>
      <c r="G1052" t="s">
        <v>26</v>
      </c>
      <c r="H1052">
        <v>0</v>
      </c>
      <c r="I1052">
        <v>0.34</v>
      </c>
      <c r="L1052" t="s">
        <v>83</v>
      </c>
      <c r="M1052" t="s">
        <v>83</v>
      </c>
      <c r="N1052" t="s">
        <v>387</v>
      </c>
    </row>
    <row r="1053" spans="1:14">
      <c r="A1053" t="s">
        <v>388</v>
      </c>
      <c r="B1053">
        <v>149</v>
      </c>
      <c r="C1053" t="s">
        <v>171</v>
      </c>
      <c r="D1053" t="s">
        <v>34</v>
      </c>
      <c r="E1053" t="s">
        <v>38</v>
      </c>
      <c r="F1053" t="s">
        <v>227</v>
      </c>
      <c r="G1053" t="s">
        <v>26</v>
      </c>
      <c r="H1053">
        <v>0</v>
      </c>
      <c r="I1053">
        <v>149</v>
      </c>
      <c r="L1053" t="s">
        <v>389</v>
      </c>
      <c r="M1053" t="s">
        <v>389</v>
      </c>
      <c r="N1053" t="s">
        <v>390</v>
      </c>
    </row>
    <row r="1054" spans="1:14">
      <c r="A1054" t="s">
        <v>39</v>
      </c>
      <c r="B1054">
        <v>89.6</v>
      </c>
      <c r="C1054" t="s">
        <v>171</v>
      </c>
      <c r="D1054" t="s">
        <v>34</v>
      </c>
      <c r="E1054" t="s">
        <v>38</v>
      </c>
      <c r="F1054" t="s">
        <v>227</v>
      </c>
      <c r="G1054" t="s">
        <v>26</v>
      </c>
      <c r="H1054">
        <v>0</v>
      </c>
      <c r="I1054">
        <v>89.6</v>
      </c>
      <c r="L1054" t="s">
        <v>40</v>
      </c>
      <c r="M1054" t="s">
        <v>40</v>
      </c>
      <c r="N1054" t="s">
        <v>299</v>
      </c>
    </row>
    <row r="1055" spans="1:14">
      <c r="A1055" t="s">
        <v>1253</v>
      </c>
      <c r="B1055">
        <v>137</v>
      </c>
      <c r="C1055" t="s">
        <v>171</v>
      </c>
      <c r="D1055" t="s">
        <v>169</v>
      </c>
      <c r="E1055" t="s">
        <v>35</v>
      </c>
      <c r="F1055" t="s">
        <v>227</v>
      </c>
      <c r="G1055" t="s">
        <v>26</v>
      </c>
      <c r="H1055">
        <v>0</v>
      </c>
      <c r="I1055">
        <v>137</v>
      </c>
      <c r="L1055" t="s">
        <v>1254</v>
      </c>
      <c r="M1055" t="s">
        <v>1254</v>
      </c>
      <c r="N1055" t="s">
        <v>332</v>
      </c>
    </row>
    <row r="1056" spans="1:14">
      <c r="A1056" t="s">
        <v>300</v>
      </c>
      <c r="B1056">
        <v>68.3</v>
      </c>
      <c r="C1056" t="s">
        <v>171</v>
      </c>
      <c r="D1056" t="s">
        <v>20</v>
      </c>
      <c r="E1056" t="s">
        <v>35</v>
      </c>
      <c r="F1056" t="s">
        <v>227</v>
      </c>
      <c r="G1056" t="s">
        <v>26</v>
      </c>
      <c r="H1056">
        <v>0</v>
      </c>
      <c r="I1056">
        <v>68.3</v>
      </c>
      <c r="L1056" t="s">
        <v>302</v>
      </c>
      <c r="M1056" t="s">
        <v>1260</v>
      </c>
      <c r="N1056" t="s">
        <v>303</v>
      </c>
    </row>
    <row r="1057" spans="1:14">
      <c r="A1057" t="s">
        <v>190</v>
      </c>
      <c r="B1057">
        <v>61.2</v>
      </c>
      <c r="C1057" t="s">
        <v>171</v>
      </c>
      <c r="D1057" t="s">
        <v>20</v>
      </c>
      <c r="E1057" t="s">
        <v>38</v>
      </c>
      <c r="F1057" t="s">
        <v>227</v>
      </c>
      <c r="G1057" t="s">
        <v>26</v>
      </c>
      <c r="H1057">
        <v>0</v>
      </c>
      <c r="I1057">
        <v>61.2</v>
      </c>
      <c r="M1057" t="s">
        <v>190</v>
      </c>
      <c r="N1057" t="s">
        <v>400</v>
      </c>
    </row>
    <row r="1058" spans="1:14">
      <c r="A1058" t="s">
        <v>193</v>
      </c>
      <c r="B1058">
        <v>151</v>
      </c>
      <c r="C1058" t="s">
        <v>171</v>
      </c>
      <c r="D1058" t="s">
        <v>20</v>
      </c>
      <c r="E1058" t="s">
        <v>38</v>
      </c>
      <c r="F1058" t="s">
        <v>227</v>
      </c>
      <c r="G1058" t="s">
        <v>26</v>
      </c>
      <c r="H1058">
        <v>0</v>
      </c>
      <c r="I1058">
        <v>151</v>
      </c>
      <c r="M1058" t="s">
        <v>193</v>
      </c>
      <c r="N1058" t="s">
        <v>336</v>
      </c>
    </row>
    <row r="1060" spans="1:14">
      <c r="A1060" s="1" t="s">
        <v>0</v>
      </c>
      <c r="B1060" s="1" t="s">
        <v>458</v>
      </c>
    </row>
    <row r="1061" spans="1:14">
      <c r="A1061" t="s">
        <v>13</v>
      </c>
      <c r="B1061" t="s">
        <v>328</v>
      </c>
    </row>
    <row r="1062" spans="1:14">
      <c r="A1062" t="s">
        <v>1</v>
      </c>
      <c r="B1062" t="s">
        <v>20</v>
      </c>
    </row>
    <row r="1063" spans="1:14">
      <c r="A1063" t="s">
        <v>2</v>
      </c>
      <c r="B1063">
        <v>1</v>
      </c>
    </row>
    <row r="1064" spans="1:14">
      <c r="A1064" t="s">
        <v>3</v>
      </c>
      <c r="B1064" t="s">
        <v>458</v>
      </c>
    </row>
    <row r="1065" spans="1:14">
      <c r="A1065" t="s">
        <v>5</v>
      </c>
      <c r="B1065" t="s">
        <v>6</v>
      </c>
    </row>
    <row r="1066" spans="1:14">
      <c r="A1066" t="s">
        <v>7</v>
      </c>
      <c r="B1066" t="s">
        <v>7</v>
      </c>
    </row>
    <row r="1067" spans="1:14">
      <c r="A1067" s="1" t="s">
        <v>14</v>
      </c>
    </row>
    <row r="1068" spans="1:14">
      <c r="A1068" t="s">
        <v>15</v>
      </c>
      <c r="B1068" t="s">
        <v>16</v>
      </c>
      <c r="C1068" t="s">
        <v>17</v>
      </c>
      <c r="D1068" t="s">
        <v>1</v>
      </c>
      <c r="E1068" t="s">
        <v>7</v>
      </c>
      <c r="F1068" t="s">
        <v>18</v>
      </c>
      <c r="G1068" t="s">
        <v>5</v>
      </c>
      <c r="H1068" t="s">
        <v>203</v>
      </c>
      <c r="I1068" t="s">
        <v>204</v>
      </c>
      <c r="J1068" t="s">
        <v>206</v>
      </c>
      <c r="K1068" t="s">
        <v>13</v>
      </c>
      <c r="L1068" t="s">
        <v>208</v>
      </c>
      <c r="M1068" t="s">
        <v>3</v>
      </c>
      <c r="N1068" t="s">
        <v>209</v>
      </c>
    </row>
    <row r="1069" spans="1:14">
      <c r="A1069" t="s">
        <v>458</v>
      </c>
      <c r="B1069">
        <v>1</v>
      </c>
      <c r="C1069" t="s">
        <v>1413</v>
      </c>
      <c r="D1069" t="s">
        <v>20</v>
      </c>
      <c r="E1069" t="s">
        <v>7</v>
      </c>
      <c r="F1069" t="s">
        <v>224</v>
      </c>
      <c r="G1069" t="s">
        <v>24</v>
      </c>
      <c r="J1069">
        <v>100</v>
      </c>
      <c r="M1069" t="s">
        <v>458</v>
      </c>
    </row>
    <row r="1070" spans="1:14">
      <c r="A1070" t="s">
        <v>41</v>
      </c>
      <c r="B1070">
        <v>302</v>
      </c>
      <c r="C1070" t="s">
        <v>171</v>
      </c>
      <c r="D1070" t="s">
        <v>42</v>
      </c>
      <c r="E1070" t="s">
        <v>38</v>
      </c>
      <c r="F1070" t="s">
        <v>227</v>
      </c>
      <c r="G1070" t="s">
        <v>26</v>
      </c>
      <c r="H1070">
        <v>0</v>
      </c>
      <c r="I1070">
        <v>302</v>
      </c>
      <c r="L1070" t="s">
        <v>43</v>
      </c>
      <c r="M1070" t="s">
        <v>43</v>
      </c>
      <c r="N1070" t="s">
        <v>386</v>
      </c>
    </row>
    <row r="1071" spans="1:14">
      <c r="A1071" t="s">
        <v>67</v>
      </c>
      <c r="B1071">
        <v>2000</v>
      </c>
      <c r="C1071" t="s">
        <v>171</v>
      </c>
      <c r="D1071" t="s">
        <v>34</v>
      </c>
      <c r="E1071" t="s">
        <v>38</v>
      </c>
      <c r="F1071" t="s">
        <v>227</v>
      </c>
      <c r="G1071" t="s">
        <v>26</v>
      </c>
      <c r="H1071">
        <v>0</v>
      </c>
      <c r="I1071">
        <v>2000</v>
      </c>
      <c r="L1071" t="s">
        <v>68</v>
      </c>
      <c r="M1071" t="s">
        <v>68</v>
      </c>
      <c r="N1071" t="s">
        <v>330</v>
      </c>
    </row>
    <row r="1072" spans="1:14">
      <c r="A1072" t="s">
        <v>342</v>
      </c>
      <c r="B1072">
        <v>443</v>
      </c>
      <c r="C1072" t="s">
        <v>171</v>
      </c>
      <c r="D1072" t="s">
        <v>34</v>
      </c>
      <c r="E1072" t="s">
        <v>38</v>
      </c>
      <c r="F1072" t="s">
        <v>227</v>
      </c>
      <c r="G1072" t="s">
        <v>26</v>
      </c>
      <c r="H1072">
        <v>0</v>
      </c>
      <c r="I1072">
        <v>443</v>
      </c>
      <c r="L1072" t="s">
        <v>343</v>
      </c>
      <c r="M1072" t="s">
        <v>343</v>
      </c>
      <c r="N1072" t="s">
        <v>344</v>
      </c>
    </row>
    <row r="1073" spans="1:14">
      <c r="A1073" t="s">
        <v>82</v>
      </c>
      <c r="B1073">
        <v>16.8</v>
      </c>
      <c r="C1073" t="s">
        <v>171</v>
      </c>
      <c r="D1073" t="s">
        <v>20</v>
      </c>
      <c r="E1073" t="s">
        <v>38</v>
      </c>
      <c r="F1073" t="s">
        <v>227</v>
      </c>
      <c r="G1073" t="s">
        <v>26</v>
      </c>
      <c r="H1073">
        <v>0</v>
      </c>
      <c r="I1073">
        <v>16.8</v>
      </c>
      <c r="L1073" t="s">
        <v>83</v>
      </c>
      <c r="M1073" t="s">
        <v>83</v>
      </c>
      <c r="N1073" t="s">
        <v>387</v>
      </c>
    </row>
    <row r="1074" spans="1:14">
      <c r="A1074" t="s">
        <v>388</v>
      </c>
      <c r="B1074">
        <v>213</v>
      </c>
      <c r="C1074" t="s">
        <v>171</v>
      </c>
      <c r="D1074" t="s">
        <v>34</v>
      </c>
      <c r="E1074" t="s">
        <v>38</v>
      </c>
      <c r="F1074" t="s">
        <v>227</v>
      </c>
      <c r="G1074" t="s">
        <v>26</v>
      </c>
      <c r="H1074">
        <v>0</v>
      </c>
      <c r="I1074">
        <v>213</v>
      </c>
      <c r="L1074" t="s">
        <v>389</v>
      </c>
      <c r="M1074" t="s">
        <v>389</v>
      </c>
      <c r="N1074" t="s">
        <v>390</v>
      </c>
    </row>
    <row r="1075" spans="1:14">
      <c r="A1075" t="s">
        <v>1302</v>
      </c>
      <c r="B1075">
        <v>92.9</v>
      </c>
      <c r="C1075" t="s">
        <v>171</v>
      </c>
      <c r="D1075" t="s">
        <v>20</v>
      </c>
      <c r="E1075" t="s">
        <v>38</v>
      </c>
      <c r="F1075" t="s">
        <v>227</v>
      </c>
      <c r="G1075" t="s">
        <v>26</v>
      </c>
      <c r="H1075">
        <v>0</v>
      </c>
      <c r="I1075">
        <v>92.9</v>
      </c>
      <c r="L1075" t="s">
        <v>1303</v>
      </c>
      <c r="M1075" t="s">
        <v>1303</v>
      </c>
      <c r="N1075" t="s">
        <v>339</v>
      </c>
    </row>
    <row r="1076" spans="1:14">
      <c r="A1076" t="s">
        <v>39</v>
      </c>
      <c r="B1076">
        <v>443</v>
      </c>
      <c r="C1076" t="s">
        <v>171</v>
      </c>
      <c r="D1076" t="s">
        <v>34</v>
      </c>
      <c r="E1076" t="s">
        <v>38</v>
      </c>
      <c r="F1076" t="s">
        <v>227</v>
      </c>
      <c r="G1076" t="s">
        <v>26</v>
      </c>
      <c r="H1076">
        <v>0</v>
      </c>
      <c r="I1076">
        <v>443</v>
      </c>
      <c r="L1076" t="s">
        <v>40</v>
      </c>
      <c r="M1076" t="s">
        <v>40</v>
      </c>
      <c r="N1076" t="s">
        <v>299</v>
      </c>
    </row>
    <row r="1077" spans="1:14">
      <c r="A1077" t="s">
        <v>78</v>
      </c>
      <c r="B1077">
        <v>106</v>
      </c>
      <c r="C1077" t="s">
        <v>171</v>
      </c>
      <c r="D1077" t="s">
        <v>34</v>
      </c>
      <c r="E1077" t="s">
        <v>38</v>
      </c>
      <c r="F1077" t="s">
        <v>227</v>
      </c>
      <c r="G1077" t="s">
        <v>26</v>
      </c>
      <c r="H1077">
        <v>0</v>
      </c>
      <c r="I1077">
        <v>106</v>
      </c>
      <c r="L1077" t="s">
        <v>79</v>
      </c>
      <c r="M1077" t="s">
        <v>79</v>
      </c>
      <c r="N1077" t="s">
        <v>391</v>
      </c>
    </row>
    <row r="1078" spans="1:14">
      <c r="A1078" t="s">
        <v>392</v>
      </c>
      <c r="B1078">
        <v>164</v>
      </c>
      <c r="C1078" t="s">
        <v>171</v>
      </c>
      <c r="D1078" t="s">
        <v>34</v>
      </c>
      <c r="E1078" t="s">
        <v>38</v>
      </c>
      <c r="F1078" t="s">
        <v>227</v>
      </c>
      <c r="G1078" t="s">
        <v>26</v>
      </c>
      <c r="H1078">
        <v>0</v>
      </c>
      <c r="I1078">
        <v>164</v>
      </c>
      <c r="L1078" t="s">
        <v>393</v>
      </c>
      <c r="M1078" t="s">
        <v>393</v>
      </c>
      <c r="N1078" t="s">
        <v>394</v>
      </c>
    </row>
    <row r="1079" spans="1:14">
      <c r="A1079" t="s">
        <v>1253</v>
      </c>
      <c r="B1079">
        <v>1680</v>
      </c>
      <c r="C1079" t="s">
        <v>171</v>
      </c>
      <c r="D1079" t="s">
        <v>169</v>
      </c>
      <c r="E1079" t="s">
        <v>35</v>
      </c>
      <c r="F1079" t="s">
        <v>227</v>
      </c>
      <c r="G1079" t="s">
        <v>26</v>
      </c>
      <c r="H1079">
        <v>0</v>
      </c>
      <c r="I1079">
        <v>1680</v>
      </c>
      <c r="L1079" t="s">
        <v>1254</v>
      </c>
      <c r="M1079" t="s">
        <v>1254</v>
      </c>
      <c r="N1079" t="s">
        <v>332</v>
      </c>
    </row>
    <row r="1080" spans="1:14">
      <c r="A1080" t="s">
        <v>300</v>
      </c>
      <c r="B1080">
        <v>842</v>
      </c>
      <c r="C1080" t="s">
        <v>171</v>
      </c>
      <c r="D1080" t="s">
        <v>20</v>
      </c>
      <c r="E1080" t="s">
        <v>35</v>
      </c>
      <c r="F1080" t="s">
        <v>227</v>
      </c>
      <c r="G1080" t="s">
        <v>26</v>
      </c>
      <c r="H1080">
        <v>0</v>
      </c>
      <c r="I1080">
        <v>842</v>
      </c>
      <c r="L1080" t="s">
        <v>302</v>
      </c>
      <c r="M1080" t="s">
        <v>1260</v>
      </c>
      <c r="N1080" t="s">
        <v>303</v>
      </c>
    </row>
    <row r="1081" spans="1:14">
      <c r="A1081" t="s">
        <v>395</v>
      </c>
      <c r="B1081">
        <v>80.8</v>
      </c>
      <c r="C1081" t="s">
        <v>171</v>
      </c>
      <c r="D1081" t="s">
        <v>20</v>
      </c>
      <c r="E1081" t="s">
        <v>38</v>
      </c>
      <c r="F1081" t="s">
        <v>227</v>
      </c>
      <c r="G1081" t="s">
        <v>26</v>
      </c>
      <c r="H1081">
        <v>0</v>
      </c>
      <c r="I1081">
        <v>80.8</v>
      </c>
      <c r="L1081" t="s">
        <v>62</v>
      </c>
      <c r="M1081" t="s">
        <v>62</v>
      </c>
      <c r="N1081" t="s">
        <v>396</v>
      </c>
    </row>
    <row r="1082" spans="1:14">
      <c r="A1082" t="s">
        <v>397</v>
      </c>
      <c r="B1082">
        <v>195</v>
      </c>
      <c r="C1082" t="s">
        <v>171</v>
      </c>
      <c r="D1082" t="s">
        <v>20</v>
      </c>
      <c r="E1082" t="s">
        <v>38</v>
      </c>
      <c r="F1082" t="s">
        <v>227</v>
      </c>
      <c r="G1082" t="s">
        <v>26</v>
      </c>
      <c r="H1082">
        <v>0</v>
      </c>
      <c r="I1082">
        <v>195</v>
      </c>
      <c r="L1082" t="s">
        <v>398</v>
      </c>
      <c r="M1082" t="s">
        <v>398</v>
      </c>
      <c r="N1082" t="s">
        <v>399</v>
      </c>
    </row>
    <row r="1083" spans="1:14">
      <c r="A1083" t="s">
        <v>190</v>
      </c>
      <c r="B1083">
        <v>302</v>
      </c>
      <c r="C1083" t="s">
        <v>171</v>
      </c>
      <c r="D1083" t="s">
        <v>20</v>
      </c>
      <c r="E1083" t="s">
        <v>38</v>
      </c>
      <c r="F1083" t="s">
        <v>227</v>
      </c>
      <c r="G1083" t="s">
        <v>26</v>
      </c>
      <c r="H1083">
        <v>0</v>
      </c>
      <c r="I1083">
        <v>302</v>
      </c>
      <c r="M1083" t="s">
        <v>190</v>
      </c>
      <c r="N1083" t="s">
        <v>400</v>
      </c>
    </row>
    <row r="1084" spans="1:14">
      <c r="A1084" t="s">
        <v>401</v>
      </c>
      <c r="B1084">
        <v>2.24E-2</v>
      </c>
      <c r="C1084" t="s">
        <v>171</v>
      </c>
      <c r="D1084" t="s">
        <v>20</v>
      </c>
      <c r="E1084" t="s">
        <v>119</v>
      </c>
      <c r="F1084" t="s">
        <v>227</v>
      </c>
      <c r="G1084" t="s">
        <v>26</v>
      </c>
      <c r="H1084">
        <v>0</v>
      </c>
      <c r="I1084">
        <v>2.24E-2</v>
      </c>
      <c r="L1084" t="s">
        <v>402</v>
      </c>
      <c r="M1084" t="s">
        <v>402</v>
      </c>
      <c r="N1084" t="s">
        <v>403</v>
      </c>
    </row>
    <row r="1085" spans="1:14">
      <c r="A1085" t="s">
        <v>193</v>
      </c>
      <c r="B1085">
        <v>999</v>
      </c>
      <c r="C1085" t="s">
        <v>171</v>
      </c>
      <c r="D1085" t="s">
        <v>20</v>
      </c>
      <c r="E1085" t="s">
        <v>38</v>
      </c>
      <c r="F1085" t="s">
        <v>227</v>
      </c>
      <c r="G1085" t="s">
        <v>26</v>
      </c>
      <c r="H1085">
        <v>0</v>
      </c>
      <c r="I1085">
        <v>999</v>
      </c>
      <c r="M1085" t="s">
        <v>193</v>
      </c>
      <c r="N1085" t="s">
        <v>336</v>
      </c>
    </row>
    <row r="1087" spans="1:14">
      <c r="A1087" s="1" t="s">
        <v>0</v>
      </c>
      <c r="B1087" s="1" t="s">
        <v>459</v>
      </c>
    </row>
    <row r="1088" spans="1:14">
      <c r="A1088" t="s">
        <v>13</v>
      </c>
      <c r="B1088" t="s">
        <v>328</v>
      </c>
    </row>
    <row r="1089" spans="1:14">
      <c r="A1089" t="s">
        <v>1</v>
      </c>
      <c r="B1089" t="s">
        <v>20</v>
      </c>
    </row>
    <row r="1090" spans="1:14">
      <c r="A1090" t="s">
        <v>2</v>
      </c>
      <c r="B1090">
        <v>1</v>
      </c>
    </row>
    <row r="1091" spans="1:14">
      <c r="A1091" t="s">
        <v>3</v>
      </c>
      <c r="B1091" t="s">
        <v>459</v>
      </c>
    </row>
    <row r="1092" spans="1:14">
      <c r="A1092" t="s">
        <v>5</v>
      </c>
      <c r="B1092" t="s">
        <v>6</v>
      </c>
    </row>
    <row r="1093" spans="1:14">
      <c r="A1093" t="s">
        <v>7</v>
      </c>
      <c r="B1093" t="s">
        <v>7</v>
      </c>
    </row>
    <row r="1094" spans="1:14">
      <c r="A1094" s="1" t="s">
        <v>14</v>
      </c>
    </row>
    <row r="1095" spans="1:14">
      <c r="A1095" t="s">
        <v>15</v>
      </c>
      <c r="B1095" t="s">
        <v>16</v>
      </c>
      <c r="C1095" t="s">
        <v>17</v>
      </c>
      <c r="D1095" t="s">
        <v>1</v>
      </c>
      <c r="E1095" t="s">
        <v>7</v>
      </c>
      <c r="F1095" t="s">
        <v>18</v>
      </c>
      <c r="G1095" t="s">
        <v>5</v>
      </c>
      <c r="H1095" t="s">
        <v>203</v>
      </c>
      <c r="I1095" t="s">
        <v>204</v>
      </c>
      <c r="J1095" t="s">
        <v>206</v>
      </c>
      <c r="K1095" t="s">
        <v>13</v>
      </c>
      <c r="L1095" t="s">
        <v>208</v>
      </c>
      <c r="M1095" t="s">
        <v>3</v>
      </c>
      <c r="N1095" t="s">
        <v>209</v>
      </c>
    </row>
    <row r="1096" spans="1:14">
      <c r="A1096" t="s">
        <v>459</v>
      </c>
      <c r="B1096">
        <v>1</v>
      </c>
      <c r="C1096" t="s">
        <v>1413</v>
      </c>
      <c r="D1096" t="s">
        <v>20</v>
      </c>
      <c r="E1096" t="s">
        <v>7</v>
      </c>
      <c r="F1096" t="s">
        <v>224</v>
      </c>
      <c r="G1096" t="s">
        <v>24</v>
      </c>
      <c r="J1096">
        <v>100</v>
      </c>
      <c r="M1096" t="s">
        <v>459</v>
      </c>
    </row>
    <row r="1097" spans="1:14">
      <c r="A1097" t="s">
        <v>67</v>
      </c>
      <c r="B1097">
        <v>7880</v>
      </c>
      <c r="C1097" t="s">
        <v>171</v>
      </c>
      <c r="D1097" t="s">
        <v>34</v>
      </c>
      <c r="E1097" t="s">
        <v>38</v>
      </c>
      <c r="F1097" t="s">
        <v>227</v>
      </c>
      <c r="G1097" t="s">
        <v>26</v>
      </c>
      <c r="H1097">
        <v>0</v>
      </c>
      <c r="I1097">
        <v>7880</v>
      </c>
      <c r="L1097" t="s">
        <v>68</v>
      </c>
      <c r="M1097" t="s">
        <v>68</v>
      </c>
      <c r="N1097" t="s">
        <v>330</v>
      </c>
    </row>
    <row r="1098" spans="1:14">
      <c r="A1098" t="s">
        <v>342</v>
      </c>
      <c r="B1098">
        <v>1790000</v>
      </c>
      <c r="C1098" t="s">
        <v>171</v>
      </c>
      <c r="D1098" t="s">
        <v>34</v>
      </c>
      <c r="E1098" t="s">
        <v>38</v>
      </c>
      <c r="F1098" t="s">
        <v>227</v>
      </c>
      <c r="G1098" t="s">
        <v>26</v>
      </c>
      <c r="H1098">
        <v>0</v>
      </c>
      <c r="I1098">
        <v>1790000</v>
      </c>
      <c r="L1098" t="s">
        <v>343</v>
      </c>
      <c r="M1098" t="s">
        <v>343</v>
      </c>
      <c r="N1098" t="s">
        <v>344</v>
      </c>
    </row>
    <row r="1099" spans="1:14">
      <c r="A1099" t="s">
        <v>139</v>
      </c>
      <c r="B1099">
        <v>1790000</v>
      </c>
      <c r="C1099" t="s">
        <v>171</v>
      </c>
      <c r="D1099" t="s">
        <v>34</v>
      </c>
      <c r="E1099" t="s">
        <v>38</v>
      </c>
      <c r="F1099" t="s">
        <v>227</v>
      </c>
      <c r="G1099" t="s">
        <v>26</v>
      </c>
      <c r="H1099">
        <v>0</v>
      </c>
      <c r="I1099">
        <v>1790000</v>
      </c>
      <c r="L1099" t="s">
        <v>140</v>
      </c>
      <c r="M1099" t="s">
        <v>140</v>
      </c>
      <c r="N1099" t="s">
        <v>345</v>
      </c>
    </row>
    <row r="1100" spans="1:14">
      <c r="A1100" t="s">
        <v>1253</v>
      </c>
      <c r="B1100">
        <v>790000</v>
      </c>
      <c r="C1100" t="s">
        <v>171</v>
      </c>
      <c r="D1100" t="s">
        <v>169</v>
      </c>
      <c r="E1100" t="s">
        <v>35</v>
      </c>
      <c r="F1100" t="s">
        <v>227</v>
      </c>
      <c r="G1100" t="s">
        <v>26</v>
      </c>
      <c r="H1100">
        <v>0</v>
      </c>
      <c r="I1100">
        <v>790000</v>
      </c>
      <c r="L1100" t="s">
        <v>1254</v>
      </c>
      <c r="M1100" t="s">
        <v>1254</v>
      </c>
      <c r="N1100" t="s">
        <v>332</v>
      </c>
    </row>
    <row r="1101" spans="1:14">
      <c r="A1101" t="s">
        <v>300</v>
      </c>
      <c r="B1101">
        <v>395000</v>
      </c>
      <c r="C1101" t="s">
        <v>171</v>
      </c>
      <c r="D1101" t="s">
        <v>20</v>
      </c>
      <c r="E1101" t="s">
        <v>35</v>
      </c>
      <c r="F1101" t="s">
        <v>227</v>
      </c>
      <c r="G1101" t="s">
        <v>26</v>
      </c>
      <c r="H1101">
        <v>0</v>
      </c>
      <c r="I1101">
        <v>395000</v>
      </c>
      <c r="L1101" t="s">
        <v>302</v>
      </c>
      <c r="M1101" t="s">
        <v>1260</v>
      </c>
      <c r="N1101" t="s">
        <v>303</v>
      </c>
    </row>
    <row r="1102" spans="1:14">
      <c r="A1102" t="s">
        <v>193</v>
      </c>
      <c r="B1102">
        <v>7880</v>
      </c>
      <c r="C1102" t="s">
        <v>171</v>
      </c>
      <c r="D1102" t="s">
        <v>20</v>
      </c>
      <c r="E1102" t="s">
        <v>38</v>
      </c>
      <c r="F1102" t="s">
        <v>227</v>
      </c>
      <c r="G1102" t="s">
        <v>26</v>
      </c>
      <c r="H1102">
        <v>0</v>
      </c>
      <c r="I1102">
        <v>7880</v>
      </c>
      <c r="M1102" t="s">
        <v>193</v>
      </c>
      <c r="N1102" t="s">
        <v>336</v>
      </c>
    </row>
    <row r="1104" spans="1:14">
      <c r="A1104" s="1" t="s">
        <v>0</v>
      </c>
      <c r="B1104" s="1" t="s">
        <v>476</v>
      </c>
    </row>
    <row r="1105" spans="1:14">
      <c r="A1105" t="s">
        <v>13</v>
      </c>
      <c r="B1105" t="s">
        <v>328</v>
      </c>
    </row>
    <row r="1106" spans="1:14">
      <c r="A1106" t="s">
        <v>1</v>
      </c>
      <c r="B1106" t="s">
        <v>20</v>
      </c>
    </row>
    <row r="1107" spans="1:14">
      <c r="A1107" t="s">
        <v>2</v>
      </c>
      <c r="B1107">
        <v>1</v>
      </c>
    </row>
    <row r="1108" spans="1:14">
      <c r="A1108" t="s">
        <v>3</v>
      </c>
      <c r="B1108" t="s">
        <v>476</v>
      </c>
    </row>
    <row r="1109" spans="1:14">
      <c r="A1109" t="s">
        <v>5</v>
      </c>
      <c r="B1109" t="s">
        <v>6</v>
      </c>
    </row>
    <row r="1110" spans="1:14">
      <c r="A1110" t="s">
        <v>7</v>
      </c>
      <c r="B1110" t="s">
        <v>7</v>
      </c>
    </row>
    <row r="1111" spans="1:14">
      <c r="A1111" s="1" t="s">
        <v>14</v>
      </c>
    </row>
    <row r="1112" spans="1:14">
      <c r="A1112" t="s">
        <v>15</v>
      </c>
      <c r="B1112" t="s">
        <v>16</v>
      </c>
      <c r="C1112" t="s">
        <v>17</v>
      </c>
      <c r="D1112" t="s">
        <v>1</v>
      </c>
      <c r="E1112" t="s">
        <v>7</v>
      </c>
      <c r="F1112" t="s">
        <v>18</v>
      </c>
      <c r="G1112" t="s">
        <v>5</v>
      </c>
      <c r="H1112" t="s">
        <v>203</v>
      </c>
      <c r="I1112" t="s">
        <v>204</v>
      </c>
      <c r="J1112" t="s">
        <v>206</v>
      </c>
      <c r="K1112" t="s">
        <v>13</v>
      </c>
      <c r="L1112" t="s">
        <v>208</v>
      </c>
      <c r="M1112" t="s">
        <v>3</v>
      </c>
      <c r="N1112" t="s">
        <v>209</v>
      </c>
    </row>
    <row r="1113" spans="1:14">
      <c r="A1113" t="s">
        <v>476</v>
      </c>
      <c r="B1113">
        <v>1</v>
      </c>
      <c r="C1113" t="s">
        <v>1413</v>
      </c>
      <c r="D1113" t="s">
        <v>20</v>
      </c>
      <c r="E1113" t="s">
        <v>7</v>
      </c>
      <c r="F1113" t="s">
        <v>224</v>
      </c>
      <c r="G1113" t="s">
        <v>24</v>
      </c>
      <c r="J1113">
        <v>100</v>
      </c>
      <c r="M1113" t="s">
        <v>476</v>
      </c>
    </row>
    <row r="1114" spans="1:14">
      <c r="A1114" t="s">
        <v>491</v>
      </c>
      <c r="B1114">
        <v>14400</v>
      </c>
      <c r="C1114" t="s">
        <v>171</v>
      </c>
      <c r="D1114" t="s">
        <v>169</v>
      </c>
      <c r="E1114" t="s">
        <v>33</v>
      </c>
      <c r="F1114" t="s">
        <v>492</v>
      </c>
      <c r="G1114" t="s">
        <v>26</v>
      </c>
      <c r="H1114">
        <v>0</v>
      </c>
      <c r="I1114">
        <v>14400</v>
      </c>
      <c r="L1114" t="s">
        <v>493</v>
      </c>
      <c r="M1114" t="s">
        <v>493</v>
      </c>
      <c r="N1114" t="s">
        <v>494</v>
      </c>
    </row>
    <row r="1115" spans="1:14">
      <c r="A1115" t="s">
        <v>67</v>
      </c>
      <c r="B1115">
        <v>774</v>
      </c>
      <c r="C1115" t="s">
        <v>171</v>
      </c>
      <c r="D1115" t="s">
        <v>34</v>
      </c>
      <c r="E1115" t="s">
        <v>38</v>
      </c>
      <c r="F1115" t="s">
        <v>227</v>
      </c>
      <c r="G1115" t="s">
        <v>26</v>
      </c>
      <c r="H1115">
        <v>0</v>
      </c>
      <c r="I1115">
        <v>774</v>
      </c>
      <c r="L1115" t="s">
        <v>68</v>
      </c>
      <c r="M1115" t="s">
        <v>68</v>
      </c>
      <c r="N1115" t="s">
        <v>330</v>
      </c>
    </row>
    <row r="1116" spans="1:14">
      <c r="A1116" t="s">
        <v>342</v>
      </c>
      <c r="B1116">
        <v>1040</v>
      </c>
      <c r="C1116" t="s">
        <v>171</v>
      </c>
      <c r="D1116" t="s">
        <v>34</v>
      </c>
      <c r="E1116" t="s">
        <v>38</v>
      </c>
      <c r="F1116" t="s">
        <v>227</v>
      </c>
      <c r="G1116" t="s">
        <v>26</v>
      </c>
      <c r="H1116">
        <v>0</v>
      </c>
      <c r="I1116">
        <v>1040</v>
      </c>
      <c r="L1116" t="s">
        <v>343</v>
      </c>
      <c r="M1116" t="s">
        <v>343</v>
      </c>
      <c r="N1116" t="s">
        <v>344</v>
      </c>
    </row>
    <row r="1117" spans="1:14">
      <c r="A1117" t="s">
        <v>164</v>
      </c>
      <c r="B1117">
        <v>126</v>
      </c>
      <c r="C1117" t="s">
        <v>171</v>
      </c>
      <c r="D1117" t="s">
        <v>20</v>
      </c>
      <c r="E1117" t="s">
        <v>38</v>
      </c>
      <c r="F1117" t="s">
        <v>227</v>
      </c>
      <c r="G1117" t="s">
        <v>26</v>
      </c>
      <c r="H1117">
        <v>0</v>
      </c>
      <c r="I1117">
        <v>126</v>
      </c>
      <c r="L1117" t="s">
        <v>165</v>
      </c>
      <c r="M1117" t="s">
        <v>165</v>
      </c>
      <c r="N1117" t="s">
        <v>485</v>
      </c>
    </row>
    <row r="1118" spans="1:14">
      <c r="A1118" t="s">
        <v>39</v>
      </c>
      <c r="B1118">
        <v>1040</v>
      </c>
      <c r="C1118" t="s">
        <v>171</v>
      </c>
      <c r="D1118" t="s">
        <v>34</v>
      </c>
      <c r="E1118" t="s">
        <v>38</v>
      </c>
      <c r="F1118" t="s">
        <v>227</v>
      </c>
      <c r="G1118" t="s">
        <v>26</v>
      </c>
      <c r="H1118">
        <v>0</v>
      </c>
      <c r="I1118">
        <v>1040</v>
      </c>
      <c r="L1118" t="s">
        <v>40</v>
      </c>
      <c r="M1118" t="s">
        <v>40</v>
      </c>
      <c r="N1118" t="s">
        <v>299</v>
      </c>
    </row>
    <row r="1119" spans="1:14">
      <c r="A1119" t="s">
        <v>1253</v>
      </c>
      <c r="B1119">
        <v>774</v>
      </c>
      <c r="C1119" t="s">
        <v>171</v>
      </c>
      <c r="D1119" t="s">
        <v>169</v>
      </c>
      <c r="E1119" t="s">
        <v>35</v>
      </c>
      <c r="F1119" t="s">
        <v>227</v>
      </c>
      <c r="G1119" t="s">
        <v>26</v>
      </c>
      <c r="H1119">
        <v>0</v>
      </c>
      <c r="I1119">
        <v>774</v>
      </c>
      <c r="L1119" t="s">
        <v>1254</v>
      </c>
      <c r="M1119" t="s">
        <v>1254</v>
      </c>
      <c r="N1119" t="s">
        <v>332</v>
      </c>
    </row>
    <row r="1120" spans="1:14">
      <c r="A1120" t="s">
        <v>300</v>
      </c>
      <c r="B1120">
        <v>387</v>
      </c>
      <c r="C1120" t="s">
        <v>171</v>
      </c>
      <c r="D1120" t="s">
        <v>20</v>
      </c>
      <c r="E1120" t="s">
        <v>35</v>
      </c>
      <c r="F1120" t="s">
        <v>227</v>
      </c>
      <c r="G1120" t="s">
        <v>26</v>
      </c>
      <c r="H1120">
        <v>0</v>
      </c>
      <c r="I1120">
        <v>387</v>
      </c>
      <c r="L1120" t="s">
        <v>302</v>
      </c>
      <c r="M1120" t="s">
        <v>1260</v>
      </c>
      <c r="N1120" t="s">
        <v>303</v>
      </c>
    </row>
    <row r="1121" spans="1:14">
      <c r="A1121" t="s">
        <v>368</v>
      </c>
      <c r="B1121">
        <v>9980</v>
      </c>
      <c r="C1121" t="s">
        <v>171</v>
      </c>
      <c r="D1121" t="s">
        <v>369</v>
      </c>
      <c r="E1121" t="s">
        <v>8</v>
      </c>
      <c r="F1121" t="s">
        <v>492</v>
      </c>
      <c r="G1121" t="s">
        <v>26</v>
      </c>
      <c r="H1121">
        <v>0</v>
      </c>
      <c r="I1121">
        <v>9980</v>
      </c>
      <c r="L1121" t="s">
        <v>366</v>
      </c>
      <c r="M1121" t="s">
        <v>366</v>
      </c>
      <c r="N1121" t="s">
        <v>370</v>
      </c>
    </row>
    <row r="1122" spans="1:14">
      <c r="A1122" t="s">
        <v>191</v>
      </c>
      <c r="B1122">
        <v>1930</v>
      </c>
      <c r="C1122" t="s">
        <v>171</v>
      </c>
      <c r="D1122" t="s">
        <v>20</v>
      </c>
      <c r="E1122" t="s">
        <v>38</v>
      </c>
      <c r="F1122" t="s">
        <v>227</v>
      </c>
      <c r="G1122" t="s">
        <v>26</v>
      </c>
      <c r="H1122">
        <v>0</v>
      </c>
      <c r="I1122">
        <v>1930</v>
      </c>
      <c r="M1122" t="s">
        <v>191</v>
      </c>
      <c r="N1122" t="s">
        <v>335</v>
      </c>
    </row>
    <row r="1123" spans="1:14">
      <c r="A1123" t="s">
        <v>350</v>
      </c>
      <c r="B1123">
        <v>1930</v>
      </c>
      <c r="C1123" t="s">
        <v>171</v>
      </c>
      <c r="D1123" t="s">
        <v>351</v>
      </c>
      <c r="E1123" t="s">
        <v>38</v>
      </c>
      <c r="F1123" t="s">
        <v>227</v>
      </c>
      <c r="G1123" t="s">
        <v>26</v>
      </c>
      <c r="H1123">
        <v>0</v>
      </c>
      <c r="I1123">
        <v>1930</v>
      </c>
      <c r="L1123" t="s">
        <v>40</v>
      </c>
      <c r="M1123" t="s">
        <v>40</v>
      </c>
      <c r="N1123" t="s">
        <v>352</v>
      </c>
    </row>
    <row r="1124" spans="1:14">
      <c r="A1124" t="s">
        <v>193</v>
      </c>
      <c r="B1124">
        <v>774</v>
      </c>
      <c r="C1124" t="s">
        <v>171</v>
      </c>
      <c r="D1124" t="s">
        <v>20</v>
      </c>
      <c r="E1124" t="s">
        <v>38</v>
      </c>
      <c r="F1124" t="s">
        <v>227</v>
      </c>
      <c r="G1124" t="s">
        <v>26</v>
      </c>
      <c r="H1124">
        <v>0</v>
      </c>
      <c r="I1124">
        <v>774</v>
      </c>
      <c r="M1124" t="s">
        <v>193</v>
      </c>
      <c r="N1124" t="s">
        <v>336</v>
      </c>
    </row>
    <row r="1126" spans="1:14">
      <c r="A1126" s="1" t="s">
        <v>0</v>
      </c>
      <c r="B1126" s="1" t="s">
        <v>477</v>
      </c>
    </row>
    <row r="1127" spans="1:14">
      <c r="A1127" t="s">
        <v>13</v>
      </c>
      <c r="B1127" t="s">
        <v>328</v>
      </c>
    </row>
    <row r="1128" spans="1:14">
      <c r="A1128" t="s">
        <v>1</v>
      </c>
      <c r="B1128" t="s">
        <v>20</v>
      </c>
    </row>
    <row r="1129" spans="1:14">
      <c r="A1129" t="s">
        <v>2</v>
      </c>
      <c r="B1129">
        <v>1</v>
      </c>
    </row>
    <row r="1130" spans="1:14">
      <c r="A1130" t="s">
        <v>3</v>
      </c>
      <c r="B1130" t="s">
        <v>477</v>
      </c>
    </row>
    <row r="1131" spans="1:14">
      <c r="A1131" t="s">
        <v>5</v>
      </c>
      <c r="B1131" t="s">
        <v>6</v>
      </c>
    </row>
    <row r="1132" spans="1:14">
      <c r="A1132" t="s">
        <v>7</v>
      </c>
      <c r="B1132" t="s">
        <v>7</v>
      </c>
    </row>
    <row r="1133" spans="1:14">
      <c r="A1133" s="1" t="s">
        <v>14</v>
      </c>
    </row>
    <row r="1134" spans="1:14">
      <c r="A1134" t="s">
        <v>15</v>
      </c>
      <c r="B1134" t="s">
        <v>16</v>
      </c>
      <c r="C1134" t="s">
        <v>17</v>
      </c>
      <c r="D1134" t="s">
        <v>1</v>
      </c>
      <c r="E1134" t="s">
        <v>7</v>
      </c>
      <c r="F1134" t="s">
        <v>18</v>
      </c>
      <c r="G1134" t="s">
        <v>5</v>
      </c>
      <c r="H1134" t="s">
        <v>203</v>
      </c>
      <c r="I1134" t="s">
        <v>204</v>
      </c>
      <c r="J1134" t="s">
        <v>206</v>
      </c>
      <c r="K1134" t="s">
        <v>13</v>
      </c>
      <c r="L1134" t="s">
        <v>208</v>
      </c>
      <c r="M1134" t="s">
        <v>3</v>
      </c>
      <c r="N1134" t="s">
        <v>209</v>
      </c>
    </row>
    <row r="1135" spans="1:14">
      <c r="A1135" t="s">
        <v>477</v>
      </c>
      <c r="B1135">
        <v>1</v>
      </c>
      <c r="C1135" t="s">
        <v>1413</v>
      </c>
      <c r="D1135" t="s">
        <v>20</v>
      </c>
      <c r="E1135" t="s">
        <v>7</v>
      </c>
      <c r="F1135" t="s">
        <v>224</v>
      </c>
      <c r="G1135" t="s">
        <v>24</v>
      </c>
      <c r="J1135">
        <v>100</v>
      </c>
      <c r="M1135" t="s">
        <v>477</v>
      </c>
    </row>
    <row r="1136" spans="1:14">
      <c r="A1136" t="s">
        <v>67</v>
      </c>
      <c r="B1136">
        <v>40000</v>
      </c>
      <c r="C1136" t="s">
        <v>171</v>
      </c>
      <c r="D1136" t="s">
        <v>34</v>
      </c>
      <c r="E1136" t="s">
        <v>38</v>
      </c>
      <c r="F1136" t="s">
        <v>227</v>
      </c>
      <c r="G1136" t="s">
        <v>26</v>
      </c>
      <c r="H1136">
        <v>0</v>
      </c>
      <c r="I1136">
        <v>40000</v>
      </c>
      <c r="L1136" t="s">
        <v>68</v>
      </c>
      <c r="M1136" t="s">
        <v>68</v>
      </c>
      <c r="N1136" t="s">
        <v>330</v>
      </c>
    </row>
    <row r="1137" spans="1:14">
      <c r="A1137" t="s">
        <v>342</v>
      </c>
      <c r="B1137">
        <v>53600</v>
      </c>
      <c r="C1137" t="s">
        <v>171</v>
      </c>
      <c r="D1137" t="s">
        <v>34</v>
      </c>
      <c r="E1137" t="s">
        <v>38</v>
      </c>
      <c r="F1137" t="s">
        <v>227</v>
      </c>
      <c r="G1137" t="s">
        <v>26</v>
      </c>
      <c r="H1137">
        <v>0</v>
      </c>
      <c r="I1137">
        <v>53600</v>
      </c>
      <c r="L1137" t="s">
        <v>343</v>
      </c>
      <c r="M1137" t="s">
        <v>343</v>
      </c>
      <c r="N1137" t="s">
        <v>344</v>
      </c>
    </row>
    <row r="1138" spans="1:14">
      <c r="A1138" t="s">
        <v>164</v>
      </c>
      <c r="B1138">
        <v>6500</v>
      </c>
      <c r="C1138" t="s">
        <v>171</v>
      </c>
      <c r="D1138" t="s">
        <v>20</v>
      </c>
      <c r="E1138" t="s">
        <v>38</v>
      </c>
      <c r="F1138" t="s">
        <v>227</v>
      </c>
      <c r="G1138" t="s">
        <v>26</v>
      </c>
      <c r="H1138">
        <v>0</v>
      </c>
      <c r="I1138">
        <v>6500</v>
      </c>
      <c r="L1138" t="s">
        <v>165</v>
      </c>
      <c r="M1138" t="s">
        <v>165</v>
      </c>
      <c r="N1138" t="s">
        <v>485</v>
      </c>
    </row>
    <row r="1139" spans="1:14">
      <c r="A1139" t="s">
        <v>275</v>
      </c>
      <c r="B1139">
        <v>63000</v>
      </c>
      <c r="C1139" t="s">
        <v>171</v>
      </c>
      <c r="D1139" t="s">
        <v>20</v>
      </c>
      <c r="E1139" t="s">
        <v>38</v>
      </c>
      <c r="F1139" t="s">
        <v>227</v>
      </c>
      <c r="G1139" t="s">
        <v>26</v>
      </c>
      <c r="H1139">
        <v>0</v>
      </c>
      <c r="I1139">
        <v>63000</v>
      </c>
      <c r="L1139" t="s">
        <v>276</v>
      </c>
      <c r="M1139" t="s">
        <v>276</v>
      </c>
      <c r="N1139" t="s">
        <v>277</v>
      </c>
    </row>
    <row r="1140" spans="1:14">
      <c r="A1140" t="s">
        <v>1302</v>
      </c>
      <c r="B1140">
        <v>2200</v>
      </c>
      <c r="C1140" t="s">
        <v>171</v>
      </c>
      <c r="D1140" t="s">
        <v>20</v>
      </c>
      <c r="E1140" t="s">
        <v>38</v>
      </c>
      <c r="F1140" t="s">
        <v>227</v>
      </c>
      <c r="G1140" t="s">
        <v>26</v>
      </c>
      <c r="H1140">
        <v>0</v>
      </c>
      <c r="I1140">
        <v>2200</v>
      </c>
      <c r="L1140" t="s">
        <v>1303</v>
      </c>
      <c r="M1140" t="s">
        <v>1303</v>
      </c>
      <c r="N1140" t="s">
        <v>339</v>
      </c>
    </row>
    <row r="1141" spans="1:14">
      <c r="A1141" t="s">
        <v>293</v>
      </c>
      <c r="B1141">
        <v>8300</v>
      </c>
      <c r="C1141" t="s">
        <v>171</v>
      </c>
      <c r="D1141" t="s">
        <v>34</v>
      </c>
      <c r="E1141" t="s">
        <v>38</v>
      </c>
      <c r="F1141" t="s">
        <v>227</v>
      </c>
      <c r="G1141" t="s">
        <v>26</v>
      </c>
      <c r="H1141">
        <v>0</v>
      </c>
      <c r="I1141">
        <v>8300</v>
      </c>
      <c r="L1141" t="s">
        <v>189</v>
      </c>
      <c r="M1141" t="s">
        <v>189</v>
      </c>
      <c r="N1141" t="s">
        <v>294</v>
      </c>
    </row>
    <row r="1142" spans="1:14">
      <c r="A1142" t="s">
        <v>46</v>
      </c>
      <c r="B1142">
        <v>2650</v>
      </c>
      <c r="C1142" t="s">
        <v>171</v>
      </c>
      <c r="D1142" t="s">
        <v>34</v>
      </c>
      <c r="E1142" t="s">
        <v>38</v>
      </c>
      <c r="F1142" t="s">
        <v>227</v>
      </c>
      <c r="G1142" t="s">
        <v>26</v>
      </c>
      <c r="H1142">
        <v>0</v>
      </c>
      <c r="I1142">
        <v>2650</v>
      </c>
      <c r="L1142" t="s">
        <v>47</v>
      </c>
      <c r="M1142" t="s">
        <v>47</v>
      </c>
      <c r="N1142" t="s">
        <v>486</v>
      </c>
    </row>
    <row r="1143" spans="1:14">
      <c r="A1143" t="s">
        <v>39</v>
      </c>
      <c r="B1143">
        <v>53600</v>
      </c>
      <c r="C1143" t="s">
        <v>171</v>
      </c>
      <c r="D1143" t="s">
        <v>34</v>
      </c>
      <c r="E1143" t="s">
        <v>38</v>
      </c>
      <c r="F1143" t="s">
        <v>227</v>
      </c>
      <c r="G1143" t="s">
        <v>26</v>
      </c>
      <c r="H1143">
        <v>0</v>
      </c>
      <c r="I1143">
        <v>53600</v>
      </c>
      <c r="L1143" t="s">
        <v>40</v>
      </c>
      <c r="M1143" t="s">
        <v>40</v>
      </c>
      <c r="N1143" t="s">
        <v>299</v>
      </c>
    </row>
    <row r="1144" spans="1:14">
      <c r="A1144" t="s">
        <v>1253</v>
      </c>
      <c r="B1144">
        <v>81900</v>
      </c>
      <c r="C1144" t="s">
        <v>171</v>
      </c>
      <c r="D1144" t="s">
        <v>169</v>
      </c>
      <c r="E1144" t="s">
        <v>35</v>
      </c>
      <c r="F1144" t="s">
        <v>227</v>
      </c>
      <c r="G1144" t="s">
        <v>26</v>
      </c>
      <c r="H1144">
        <v>0</v>
      </c>
      <c r="I1144">
        <v>81900</v>
      </c>
      <c r="L1144" t="s">
        <v>1254</v>
      </c>
      <c r="M1144" t="s">
        <v>1254</v>
      </c>
      <c r="N1144" t="s">
        <v>332</v>
      </c>
    </row>
    <row r="1145" spans="1:14">
      <c r="A1145" t="s">
        <v>300</v>
      </c>
      <c r="B1145">
        <v>28300</v>
      </c>
      <c r="C1145" t="s">
        <v>171</v>
      </c>
      <c r="D1145" t="s">
        <v>20</v>
      </c>
      <c r="E1145" t="s">
        <v>35</v>
      </c>
      <c r="F1145" t="s">
        <v>227</v>
      </c>
      <c r="G1145" t="s">
        <v>26</v>
      </c>
      <c r="H1145">
        <v>0</v>
      </c>
      <c r="I1145">
        <v>28300</v>
      </c>
      <c r="L1145" t="s">
        <v>302</v>
      </c>
      <c r="M1145" t="s">
        <v>1260</v>
      </c>
      <c r="N1145" t="s">
        <v>303</v>
      </c>
    </row>
    <row r="1146" spans="1:14">
      <c r="A1146" t="s">
        <v>368</v>
      </c>
      <c r="B1146">
        <v>750000</v>
      </c>
      <c r="C1146" t="s">
        <v>171</v>
      </c>
      <c r="D1146" t="s">
        <v>369</v>
      </c>
      <c r="E1146" t="s">
        <v>8</v>
      </c>
      <c r="F1146" t="s">
        <v>492</v>
      </c>
      <c r="G1146" t="s">
        <v>26</v>
      </c>
      <c r="H1146">
        <v>0</v>
      </c>
      <c r="I1146">
        <v>750000</v>
      </c>
      <c r="L1146" t="s">
        <v>366</v>
      </c>
      <c r="M1146" t="s">
        <v>366</v>
      </c>
      <c r="N1146" t="s">
        <v>370</v>
      </c>
    </row>
    <row r="1147" spans="1:14">
      <c r="A1147" t="s">
        <v>495</v>
      </c>
      <c r="B1147">
        <v>1080000</v>
      </c>
      <c r="C1147" t="s">
        <v>171</v>
      </c>
      <c r="D1147" t="s">
        <v>155</v>
      </c>
      <c r="E1147" t="s">
        <v>33</v>
      </c>
      <c r="F1147" t="s">
        <v>492</v>
      </c>
      <c r="G1147" t="s">
        <v>26</v>
      </c>
      <c r="H1147">
        <v>0</v>
      </c>
      <c r="I1147">
        <v>1080000</v>
      </c>
      <c r="L1147" t="s">
        <v>4</v>
      </c>
      <c r="M1147" t="s">
        <v>496</v>
      </c>
      <c r="N1147" t="s">
        <v>497</v>
      </c>
    </row>
    <row r="1148" spans="1:14">
      <c r="A1148" t="s">
        <v>191</v>
      </c>
      <c r="B1148">
        <v>99600</v>
      </c>
      <c r="C1148" t="s">
        <v>171</v>
      </c>
      <c r="D1148" t="s">
        <v>20</v>
      </c>
      <c r="E1148" t="s">
        <v>38</v>
      </c>
      <c r="F1148" t="s">
        <v>227</v>
      </c>
      <c r="G1148" t="s">
        <v>26</v>
      </c>
      <c r="H1148">
        <v>0</v>
      </c>
      <c r="I1148">
        <v>99600</v>
      </c>
      <c r="M1148" t="s">
        <v>191</v>
      </c>
      <c r="N1148" t="s">
        <v>335</v>
      </c>
    </row>
    <row r="1149" spans="1:14">
      <c r="A1149" t="s">
        <v>350</v>
      </c>
      <c r="B1149">
        <v>99600</v>
      </c>
      <c r="C1149" t="s">
        <v>171</v>
      </c>
      <c r="D1149" t="s">
        <v>351</v>
      </c>
      <c r="E1149" t="s">
        <v>38</v>
      </c>
      <c r="F1149" t="s">
        <v>227</v>
      </c>
      <c r="G1149" t="s">
        <v>26</v>
      </c>
      <c r="H1149">
        <v>0</v>
      </c>
      <c r="I1149">
        <v>99600</v>
      </c>
      <c r="L1149" t="s">
        <v>40</v>
      </c>
      <c r="M1149" t="s">
        <v>40</v>
      </c>
      <c r="N1149" t="s">
        <v>352</v>
      </c>
    </row>
    <row r="1150" spans="1:14">
      <c r="A1150" t="s">
        <v>401</v>
      </c>
      <c r="B1150">
        <v>23.2</v>
      </c>
      <c r="C1150" t="s">
        <v>171</v>
      </c>
      <c r="D1150" t="s">
        <v>20</v>
      </c>
      <c r="E1150" t="s">
        <v>119</v>
      </c>
      <c r="F1150" t="s">
        <v>227</v>
      </c>
      <c r="G1150" t="s">
        <v>26</v>
      </c>
      <c r="H1150">
        <v>0</v>
      </c>
      <c r="I1150">
        <v>23.2</v>
      </c>
      <c r="L1150" t="s">
        <v>402</v>
      </c>
      <c r="M1150" t="s">
        <v>402</v>
      </c>
      <c r="N1150" t="s">
        <v>498</v>
      </c>
    </row>
    <row r="1151" spans="1:14">
      <c r="A1151" t="s">
        <v>193</v>
      </c>
      <c r="B1151">
        <v>40000</v>
      </c>
      <c r="C1151" t="s">
        <v>171</v>
      </c>
      <c r="D1151" t="s">
        <v>20</v>
      </c>
      <c r="E1151" t="s">
        <v>38</v>
      </c>
      <c r="F1151" t="s">
        <v>227</v>
      </c>
      <c r="G1151" t="s">
        <v>26</v>
      </c>
      <c r="H1151">
        <v>0</v>
      </c>
      <c r="I1151">
        <v>40000</v>
      </c>
      <c r="M1151" t="s">
        <v>193</v>
      </c>
      <c r="N1151" t="s">
        <v>336</v>
      </c>
    </row>
    <row r="1152" spans="1:14">
      <c r="A1152" s="1" t="s">
        <v>0</v>
      </c>
      <c r="B1152" s="1" t="s">
        <v>479</v>
      </c>
    </row>
    <row r="1153" spans="1:14">
      <c r="A1153" t="s">
        <v>13</v>
      </c>
      <c r="B1153" t="s">
        <v>328</v>
      </c>
    </row>
    <row r="1154" spans="1:14">
      <c r="A1154" t="s">
        <v>1</v>
      </c>
      <c r="B1154" t="s">
        <v>20</v>
      </c>
    </row>
    <row r="1155" spans="1:14">
      <c r="A1155" t="s">
        <v>2</v>
      </c>
      <c r="B1155">
        <v>1</v>
      </c>
    </row>
    <row r="1156" spans="1:14">
      <c r="A1156" t="s">
        <v>3</v>
      </c>
      <c r="B1156" t="s">
        <v>479</v>
      </c>
    </row>
    <row r="1157" spans="1:14">
      <c r="A1157" t="s">
        <v>5</v>
      </c>
      <c r="B1157" t="s">
        <v>6</v>
      </c>
    </row>
    <row r="1158" spans="1:14">
      <c r="A1158" t="s">
        <v>7</v>
      </c>
      <c r="B1158" t="s">
        <v>7</v>
      </c>
    </row>
    <row r="1159" spans="1:14">
      <c r="A1159" s="1" t="s">
        <v>14</v>
      </c>
    </row>
    <row r="1160" spans="1:14">
      <c r="A1160" t="s">
        <v>15</v>
      </c>
      <c r="B1160" t="s">
        <v>16</v>
      </c>
      <c r="C1160" t="s">
        <v>17</v>
      </c>
      <c r="D1160" t="s">
        <v>1</v>
      </c>
      <c r="E1160" t="s">
        <v>7</v>
      </c>
      <c r="F1160" t="s">
        <v>18</v>
      </c>
      <c r="G1160" t="s">
        <v>5</v>
      </c>
      <c r="H1160" t="s">
        <v>203</v>
      </c>
      <c r="I1160" t="s">
        <v>204</v>
      </c>
      <c r="J1160" t="s">
        <v>206</v>
      </c>
      <c r="K1160" t="s">
        <v>13</v>
      </c>
      <c r="L1160" t="s">
        <v>208</v>
      </c>
      <c r="M1160" t="s">
        <v>3</v>
      </c>
      <c r="N1160" t="s">
        <v>209</v>
      </c>
    </row>
    <row r="1161" spans="1:14">
      <c r="A1161" t="s">
        <v>479</v>
      </c>
      <c r="B1161">
        <v>1</v>
      </c>
      <c r="C1161" t="s">
        <v>1413</v>
      </c>
      <c r="D1161" t="s">
        <v>20</v>
      </c>
      <c r="E1161" t="s">
        <v>7</v>
      </c>
      <c r="F1161" t="s">
        <v>224</v>
      </c>
      <c r="G1161" t="s">
        <v>24</v>
      </c>
      <c r="J1161">
        <v>100</v>
      </c>
      <c r="M1161" t="s">
        <v>479</v>
      </c>
    </row>
    <row r="1162" spans="1:14">
      <c r="A1162" t="s">
        <v>342</v>
      </c>
      <c r="B1162">
        <v>5300000</v>
      </c>
      <c r="C1162" t="s">
        <v>171</v>
      </c>
      <c r="D1162" t="s">
        <v>34</v>
      </c>
      <c r="E1162" t="s">
        <v>38</v>
      </c>
      <c r="F1162" t="s">
        <v>227</v>
      </c>
      <c r="G1162" t="s">
        <v>26</v>
      </c>
      <c r="H1162">
        <v>0</v>
      </c>
      <c r="I1162">
        <v>5300000</v>
      </c>
      <c r="L1162" t="s">
        <v>343</v>
      </c>
      <c r="M1162" t="s">
        <v>343</v>
      </c>
      <c r="N1162" t="s">
        <v>344</v>
      </c>
    </row>
    <row r="1163" spans="1:14">
      <c r="A1163" t="s">
        <v>139</v>
      </c>
      <c r="B1163">
        <v>5300000</v>
      </c>
      <c r="C1163" t="s">
        <v>171</v>
      </c>
      <c r="D1163" t="s">
        <v>34</v>
      </c>
      <c r="E1163" t="s">
        <v>38</v>
      </c>
      <c r="F1163" t="s">
        <v>227</v>
      </c>
      <c r="G1163" t="s">
        <v>26</v>
      </c>
      <c r="H1163">
        <v>0</v>
      </c>
      <c r="I1163">
        <v>5300000</v>
      </c>
      <c r="L1163" t="s">
        <v>140</v>
      </c>
      <c r="M1163" t="s">
        <v>140</v>
      </c>
      <c r="N1163" t="s">
        <v>345</v>
      </c>
    </row>
    <row r="1164" spans="1:14">
      <c r="A1164" t="s">
        <v>1253</v>
      </c>
      <c r="B1164">
        <v>1170000</v>
      </c>
      <c r="C1164" t="s">
        <v>171</v>
      </c>
      <c r="D1164" t="s">
        <v>169</v>
      </c>
      <c r="E1164" t="s">
        <v>35</v>
      </c>
      <c r="F1164" t="s">
        <v>227</v>
      </c>
      <c r="G1164" t="s">
        <v>26</v>
      </c>
      <c r="H1164">
        <v>0</v>
      </c>
      <c r="I1164">
        <v>1170000</v>
      </c>
      <c r="L1164" t="s">
        <v>1254</v>
      </c>
      <c r="M1164" t="s">
        <v>1254</v>
      </c>
      <c r="N1164" t="s">
        <v>332</v>
      </c>
    </row>
    <row r="1165" spans="1:14">
      <c r="A1165" t="s">
        <v>300</v>
      </c>
      <c r="B1165">
        <v>583000</v>
      </c>
      <c r="C1165" t="s">
        <v>171</v>
      </c>
      <c r="D1165" t="s">
        <v>20</v>
      </c>
      <c r="E1165" t="s">
        <v>35</v>
      </c>
      <c r="F1165" t="s">
        <v>227</v>
      </c>
      <c r="G1165" t="s">
        <v>26</v>
      </c>
      <c r="H1165">
        <v>0</v>
      </c>
      <c r="I1165">
        <v>583000</v>
      </c>
      <c r="L1165" t="s">
        <v>302</v>
      </c>
      <c r="M1165" t="s">
        <v>1260</v>
      </c>
      <c r="N1165" t="s">
        <v>303</v>
      </c>
    </row>
    <row r="1167" spans="1:14">
      <c r="A1167" s="1" t="s">
        <v>0</v>
      </c>
      <c r="B1167" s="1" t="s">
        <v>230</v>
      </c>
    </row>
    <row r="1168" spans="1:14">
      <c r="A1168" t="s">
        <v>13</v>
      </c>
      <c r="B1168" t="s">
        <v>328</v>
      </c>
    </row>
    <row r="1169" spans="1:16">
      <c r="A1169" t="s">
        <v>1</v>
      </c>
      <c r="B1169" t="s">
        <v>194</v>
      </c>
    </row>
    <row r="1170" spans="1:16">
      <c r="A1170" t="s">
        <v>2</v>
      </c>
      <c r="B1170">
        <v>1</v>
      </c>
    </row>
    <row r="1171" spans="1:16">
      <c r="A1171" t="s">
        <v>3</v>
      </c>
      <c r="B1171" t="s">
        <v>230</v>
      </c>
    </row>
    <row r="1172" spans="1:16">
      <c r="A1172" t="s">
        <v>5</v>
      </c>
      <c r="B1172" t="s">
        <v>6</v>
      </c>
    </row>
    <row r="1173" spans="1:16">
      <c r="A1173" t="s">
        <v>7</v>
      </c>
      <c r="B1173" t="s">
        <v>38</v>
      </c>
    </row>
    <row r="1174" spans="1:16">
      <c r="A1174" s="1" t="s">
        <v>14</v>
      </c>
    </row>
    <row r="1175" spans="1:16">
      <c r="A1175" t="s">
        <v>15</v>
      </c>
      <c r="B1175" t="s">
        <v>16</v>
      </c>
      <c r="C1175" t="s">
        <v>17</v>
      </c>
      <c r="D1175" t="s">
        <v>1</v>
      </c>
      <c r="E1175" t="s">
        <v>7</v>
      </c>
      <c r="F1175" t="s">
        <v>18</v>
      </c>
      <c r="G1175" t="s">
        <v>5</v>
      </c>
      <c r="H1175" t="s">
        <v>203</v>
      </c>
      <c r="I1175" t="s">
        <v>204</v>
      </c>
      <c r="J1175" t="s">
        <v>205</v>
      </c>
      <c r="K1175" t="s">
        <v>206</v>
      </c>
      <c r="L1175" t="s">
        <v>13</v>
      </c>
      <c r="M1175" t="s">
        <v>207</v>
      </c>
      <c r="N1175" t="s">
        <v>208</v>
      </c>
      <c r="O1175" t="s">
        <v>3</v>
      </c>
      <c r="P1175" t="s">
        <v>209</v>
      </c>
    </row>
    <row r="1176" spans="1:16">
      <c r="A1176" t="s">
        <v>408</v>
      </c>
      <c r="B1176">
        <v>5.8099999999999999E-2</v>
      </c>
      <c r="C1176" t="s">
        <v>172</v>
      </c>
      <c r="E1176" t="s">
        <v>38</v>
      </c>
      <c r="F1176" t="s">
        <v>217</v>
      </c>
      <c r="G1176" t="s">
        <v>126</v>
      </c>
      <c r="H1176">
        <v>2</v>
      </c>
      <c r="I1176">
        <v>-2.845589615124271</v>
      </c>
      <c r="J1176">
        <v>0.3465735902799727</v>
      </c>
      <c r="L1176" t="s">
        <v>409</v>
      </c>
      <c r="M1176">
        <v>0</v>
      </c>
    </row>
    <row r="1177" spans="1:16">
      <c r="A1177" t="s">
        <v>410</v>
      </c>
      <c r="B1177">
        <v>3.13E-3</v>
      </c>
      <c r="C1177" t="s">
        <v>172</v>
      </c>
      <c r="E1177" t="s">
        <v>38</v>
      </c>
      <c r="F1177" t="s">
        <v>217</v>
      </c>
      <c r="G1177" t="s">
        <v>126</v>
      </c>
      <c r="H1177">
        <v>2</v>
      </c>
      <c r="I1177">
        <v>-5.7667222744300748</v>
      </c>
      <c r="J1177">
        <v>0.3465735902799727</v>
      </c>
      <c r="L1177" t="s">
        <v>409</v>
      </c>
      <c r="M1177">
        <v>0</v>
      </c>
    </row>
    <row r="1178" spans="1:16">
      <c r="A1178" t="s">
        <v>411</v>
      </c>
      <c r="B1178">
        <v>6.3899999999999995E-5</v>
      </c>
      <c r="C1178" t="s">
        <v>172</v>
      </c>
      <c r="E1178" t="s">
        <v>38</v>
      </c>
      <c r="F1178" t="s">
        <v>217</v>
      </c>
      <c r="G1178" t="s">
        <v>126</v>
      </c>
      <c r="H1178">
        <v>2</v>
      </c>
      <c r="I1178">
        <v>-9.6581911965807858</v>
      </c>
      <c r="J1178">
        <v>0.3465735902799727</v>
      </c>
      <c r="L1178" t="s">
        <v>409</v>
      </c>
      <c r="M1178">
        <v>0</v>
      </c>
    </row>
    <row r="1179" spans="1:16">
      <c r="A1179" t="s">
        <v>412</v>
      </c>
      <c r="B1179">
        <v>1.66E-2</v>
      </c>
      <c r="C1179" t="s">
        <v>172</v>
      </c>
      <c r="E1179" t="s">
        <v>38</v>
      </c>
      <c r="F1179" t="s">
        <v>217</v>
      </c>
      <c r="G1179" t="s">
        <v>126</v>
      </c>
      <c r="H1179">
        <v>2</v>
      </c>
      <c r="I1179">
        <v>-4.0983525836196391</v>
      </c>
      <c r="J1179">
        <v>0.3465735902799727</v>
      </c>
      <c r="L1179" t="s">
        <v>409</v>
      </c>
      <c r="M1179">
        <v>0</v>
      </c>
    </row>
    <row r="1180" spans="1:16">
      <c r="A1180" t="s">
        <v>413</v>
      </c>
      <c r="B1180">
        <v>8.3000000000000004E-2</v>
      </c>
      <c r="C1180" t="s">
        <v>172</v>
      </c>
      <c r="E1180" t="s">
        <v>38</v>
      </c>
      <c r="F1180" t="s">
        <v>217</v>
      </c>
      <c r="G1180" t="s">
        <v>126</v>
      </c>
      <c r="H1180">
        <v>2</v>
      </c>
      <c r="I1180">
        <v>-2.488914671185539</v>
      </c>
      <c r="J1180">
        <v>0.3465735902799727</v>
      </c>
      <c r="L1180" t="s">
        <v>409</v>
      </c>
      <c r="M1180">
        <v>0</v>
      </c>
    </row>
    <row r="1181" spans="1:16">
      <c r="A1181" t="s">
        <v>414</v>
      </c>
      <c r="B1181">
        <v>7.0299999999999998E-3</v>
      </c>
      <c r="C1181" t="s">
        <v>172</v>
      </c>
      <c r="E1181" t="s">
        <v>38</v>
      </c>
      <c r="F1181" t="s">
        <v>217</v>
      </c>
      <c r="G1181" t="s">
        <v>126</v>
      </c>
      <c r="H1181">
        <v>2</v>
      </c>
      <c r="I1181">
        <v>-4.9575685731595636</v>
      </c>
      <c r="J1181">
        <v>0.3465735902799727</v>
      </c>
      <c r="L1181" t="s">
        <v>409</v>
      </c>
      <c r="M1181">
        <v>0</v>
      </c>
    </row>
    <row r="1182" spans="1:16">
      <c r="A1182" t="s">
        <v>415</v>
      </c>
      <c r="B1182">
        <v>3.5799999999999998E-2</v>
      </c>
      <c r="C1182" t="s">
        <v>172</v>
      </c>
      <c r="E1182" t="s">
        <v>38</v>
      </c>
      <c r="F1182" t="s">
        <v>217</v>
      </c>
      <c r="G1182" t="s">
        <v>126</v>
      </c>
      <c r="H1182">
        <v>2</v>
      </c>
      <c r="I1182">
        <v>-3.3298073855754819</v>
      </c>
      <c r="J1182">
        <v>0.3465735902799727</v>
      </c>
      <c r="L1182" t="s">
        <v>409</v>
      </c>
      <c r="M1182">
        <v>0</v>
      </c>
    </row>
    <row r="1183" spans="1:16">
      <c r="A1183" t="s">
        <v>214</v>
      </c>
      <c r="B1183">
        <v>80</v>
      </c>
      <c r="C1183" t="s">
        <v>172</v>
      </c>
      <c r="E1183" t="s">
        <v>33</v>
      </c>
      <c r="F1183" t="s">
        <v>212</v>
      </c>
      <c r="G1183" t="s">
        <v>126</v>
      </c>
      <c r="H1183">
        <v>2</v>
      </c>
      <c r="I1183">
        <v>4.3820266346738812</v>
      </c>
      <c r="J1183">
        <v>0.54930614433405478</v>
      </c>
      <c r="L1183" t="s">
        <v>416</v>
      </c>
      <c r="M1183">
        <v>0</v>
      </c>
    </row>
    <row r="1184" spans="1:16">
      <c r="A1184" t="s">
        <v>417</v>
      </c>
      <c r="B1184">
        <v>1.5300000000000001E-4</v>
      </c>
      <c r="C1184" t="s">
        <v>172</v>
      </c>
      <c r="E1184" t="s">
        <v>38</v>
      </c>
      <c r="F1184" t="s">
        <v>217</v>
      </c>
      <c r="G1184" t="s">
        <v>126</v>
      </c>
      <c r="H1184">
        <v>2</v>
      </c>
      <c r="I1184">
        <v>-8.7850726365718383</v>
      </c>
      <c r="J1184">
        <v>0.3465735902799727</v>
      </c>
      <c r="L1184" t="s">
        <v>409</v>
      </c>
      <c r="M1184">
        <v>0</v>
      </c>
    </row>
    <row r="1185" spans="1:13">
      <c r="A1185" t="s">
        <v>418</v>
      </c>
      <c r="B1185">
        <v>4.0200000000000001E-4</v>
      </c>
      <c r="C1185" t="s">
        <v>172</v>
      </c>
      <c r="E1185" t="s">
        <v>38</v>
      </c>
      <c r="F1185" t="s">
        <v>217</v>
      </c>
      <c r="G1185" t="s">
        <v>126</v>
      </c>
      <c r="H1185">
        <v>2</v>
      </c>
      <c r="I1185">
        <v>-7.8190584693452534</v>
      </c>
      <c r="J1185">
        <v>0.3465735902799727</v>
      </c>
      <c r="L1185" t="s">
        <v>409</v>
      </c>
      <c r="M1185">
        <v>0</v>
      </c>
    </row>
    <row r="1186" spans="1:13">
      <c r="A1186" t="s">
        <v>419</v>
      </c>
      <c r="B1186">
        <v>1.0200000000000001E-5</v>
      </c>
      <c r="C1186" t="s">
        <v>172</v>
      </c>
      <c r="E1186" t="s">
        <v>38</v>
      </c>
      <c r="F1186" t="s">
        <v>217</v>
      </c>
      <c r="G1186" t="s">
        <v>126</v>
      </c>
      <c r="H1186">
        <v>2</v>
      </c>
      <c r="I1186">
        <v>-11.493122837674051</v>
      </c>
      <c r="J1186">
        <v>0.3465735902799727</v>
      </c>
      <c r="L1186" t="s">
        <v>409</v>
      </c>
      <c r="M1186">
        <v>0</v>
      </c>
    </row>
    <row r="1187" spans="1:13">
      <c r="A1187" t="s">
        <v>420</v>
      </c>
      <c r="B1187">
        <v>2.7500000000000001E-5</v>
      </c>
      <c r="C1187" t="s">
        <v>172</v>
      </c>
      <c r="E1187" t="s">
        <v>38</v>
      </c>
      <c r="F1187" t="s">
        <v>217</v>
      </c>
      <c r="G1187" t="s">
        <v>126</v>
      </c>
      <c r="H1187">
        <v>2</v>
      </c>
      <c r="I1187">
        <v>-10.501324553291751</v>
      </c>
      <c r="J1187">
        <v>0.3465735902799727</v>
      </c>
      <c r="L1187" t="s">
        <v>409</v>
      </c>
      <c r="M1187">
        <v>0</v>
      </c>
    </row>
    <row r="1188" spans="1:13">
      <c r="A1188" t="s">
        <v>421</v>
      </c>
      <c r="B1188">
        <v>3.3E-3</v>
      </c>
      <c r="C1188" t="s">
        <v>172</v>
      </c>
      <c r="E1188" t="s">
        <v>38</v>
      </c>
      <c r="F1188" t="s">
        <v>212</v>
      </c>
      <c r="G1188" t="s">
        <v>126</v>
      </c>
      <c r="H1188">
        <v>2</v>
      </c>
      <c r="I1188">
        <v>-5.7138328105097029</v>
      </c>
      <c r="J1188">
        <v>0.3465735902799727</v>
      </c>
      <c r="L1188" t="s">
        <v>409</v>
      </c>
      <c r="M1188">
        <v>0</v>
      </c>
    </row>
    <row r="1189" spans="1:13">
      <c r="A1189" t="s">
        <v>422</v>
      </c>
      <c r="B1189">
        <v>1.47E-4</v>
      </c>
      <c r="C1189" t="s">
        <v>172</v>
      </c>
      <c r="E1189" t="s">
        <v>38</v>
      </c>
      <c r="F1189" t="s">
        <v>217</v>
      </c>
      <c r="G1189" t="s">
        <v>126</v>
      </c>
      <c r="H1189">
        <v>2</v>
      </c>
      <c r="I1189">
        <v>-8.8250779711855376</v>
      </c>
      <c r="J1189">
        <v>0.3465735902799727</v>
      </c>
      <c r="L1189" t="s">
        <v>409</v>
      </c>
      <c r="M1189">
        <v>0</v>
      </c>
    </row>
    <row r="1190" spans="1:13">
      <c r="A1190" t="s">
        <v>423</v>
      </c>
      <c r="B1190">
        <v>7.0300000000000001E-2</v>
      </c>
      <c r="C1190" t="s">
        <v>172</v>
      </c>
      <c r="E1190" t="s">
        <v>38</v>
      </c>
      <c r="F1190" t="s">
        <v>217</v>
      </c>
      <c r="G1190" t="s">
        <v>126</v>
      </c>
      <c r="H1190">
        <v>2</v>
      </c>
      <c r="I1190">
        <v>-2.6549834801655181</v>
      </c>
      <c r="J1190">
        <v>0.3465735902799727</v>
      </c>
      <c r="L1190" t="s">
        <v>409</v>
      </c>
      <c r="M1190">
        <v>0</v>
      </c>
    </row>
    <row r="1191" spans="1:13">
      <c r="A1191" t="s">
        <v>424</v>
      </c>
      <c r="B1191">
        <v>0.03</v>
      </c>
      <c r="C1191" t="s">
        <v>172</v>
      </c>
      <c r="E1191" t="s">
        <v>38</v>
      </c>
      <c r="F1191" t="s">
        <v>212</v>
      </c>
      <c r="G1191" t="s">
        <v>126</v>
      </c>
      <c r="H1191">
        <v>2</v>
      </c>
      <c r="I1191">
        <v>-3.5065578973199818</v>
      </c>
      <c r="J1191">
        <v>0.3465735902799727</v>
      </c>
      <c r="L1191" t="s">
        <v>409</v>
      </c>
      <c r="M1191">
        <v>0</v>
      </c>
    </row>
    <row r="1192" spans="1:13">
      <c r="A1192" t="s">
        <v>425</v>
      </c>
      <c r="B1192">
        <v>1.2800000000000001E-3</v>
      </c>
      <c r="C1192" t="s">
        <v>172</v>
      </c>
      <c r="E1192" t="s">
        <v>38</v>
      </c>
      <c r="F1192" t="s">
        <v>217</v>
      </c>
      <c r="G1192" t="s">
        <v>126</v>
      </c>
      <c r="H1192">
        <v>2</v>
      </c>
      <c r="I1192">
        <v>-6.6608952010506108</v>
      </c>
      <c r="J1192">
        <v>0.3465735902799727</v>
      </c>
      <c r="L1192" t="s">
        <v>409</v>
      </c>
      <c r="M1192">
        <v>0</v>
      </c>
    </row>
    <row r="1193" spans="1:13">
      <c r="A1193" t="s">
        <v>426</v>
      </c>
      <c r="B1193">
        <v>2.1699999999999999E-4</v>
      </c>
      <c r="C1193" t="s">
        <v>172</v>
      </c>
      <c r="E1193" t="s">
        <v>38</v>
      </c>
      <c r="F1193" t="s">
        <v>217</v>
      </c>
      <c r="G1193" t="s">
        <v>126</v>
      </c>
      <c r="H1193">
        <v>2</v>
      </c>
      <c r="I1193">
        <v>-8.4356132044238148</v>
      </c>
      <c r="J1193">
        <v>0.3465735902799727</v>
      </c>
      <c r="L1193" t="s">
        <v>409</v>
      </c>
      <c r="M1193">
        <v>0</v>
      </c>
    </row>
    <row r="1194" spans="1:13">
      <c r="A1194" t="s">
        <v>428</v>
      </c>
      <c r="B1194">
        <v>2.1699999999999999E-5</v>
      </c>
      <c r="C1194" t="s">
        <v>172</v>
      </c>
      <c r="E1194" t="s">
        <v>38</v>
      </c>
      <c r="F1194" t="s">
        <v>217</v>
      </c>
      <c r="G1194" t="s">
        <v>126</v>
      </c>
      <c r="H1194">
        <v>2</v>
      </c>
      <c r="I1194">
        <v>-10.73819829741786</v>
      </c>
      <c r="J1194">
        <v>0.3465735902799727</v>
      </c>
      <c r="L1194" t="s">
        <v>409</v>
      </c>
      <c r="M1194">
        <v>0</v>
      </c>
    </row>
    <row r="1195" spans="1:13">
      <c r="A1195" t="s">
        <v>429</v>
      </c>
      <c r="B1195">
        <v>8.94E-3</v>
      </c>
      <c r="C1195" t="s">
        <v>172</v>
      </c>
      <c r="E1195" t="s">
        <v>38</v>
      </c>
      <c r="F1195" t="s">
        <v>217</v>
      </c>
      <c r="G1195" t="s">
        <v>126</v>
      </c>
      <c r="H1195">
        <v>2</v>
      </c>
      <c r="I1195">
        <v>-4.717219689796714</v>
      </c>
      <c r="J1195">
        <v>0.3465735902799727</v>
      </c>
      <c r="L1195" t="s">
        <v>409</v>
      </c>
      <c r="M1195">
        <v>0</v>
      </c>
    </row>
    <row r="1196" spans="1:13">
      <c r="A1196" t="s">
        <v>430</v>
      </c>
      <c r="B1196">
        <v>1.21E-2</v>
      </c>
      <c r="C1196" t="s">
        <v>172</v>
      </c>
      <c r="E1196" t="s">
        <v>38</v>
      </c>
      <c r="F1196" t="s">
        <v>217</v>
      </c>
      <c r="G1196" t="s">
        <v>126</v>
      </c>
      <c r="H1196">
        <v>2</v>
      </c>
      <c r="I1196">
        <v>-4.4145498263794414</v>
      </c>
      <c r="J1196">
        <v>0.3465735902799727</v>
      </c>
      <c r="L1196" t="s">
        <v>409</v>
      </c>
      <c r="M1196">
        <v>0</v>
      </c>
    </row>
    <row r="1197" spans="1:13">
      <c r="A1197" t="s">
        <v>431</v>
      </c>
      <c r="B1197">
        <v>1.85E-4</v>
      </c>
      <c r="C1197" t="s">
        <v>172</v>
      </c>
      <c r="E1197" t="s">
        <v>38</v>
      </c>
      <c r="F1197" t="s">
        <v>217</v>
      </c>
      <c r="G1197" t="s">
        <v>126</v>
      </c>
      <c r="H1197">
        <v>2</v>
      </c>
      <c r="I1197">
        <v>-8.5951547328859501</v>
      </c>
      <c r="J1197">
        <v>0.3465735902799727</v>
      </c>
      <c r="L1197" t="s">
        <v>409</v>
      </c>
      <c r="M1197">
        <v>0</v>
      </c>
    </row>
    <row r="1198" spans="1:13">
      <c r="A1198" t="s">
        <v>432</v>
      </c>
      <c r="B1198">
        <v>2.3E-3</v>
      </c>
      <c r="C1198" t="s">
        <v>172</v>
      </c>
      <c r="E1198" t="s">
        <v>38</v>
      </c>
      <c r="F1198" t="s">
        <v>217</v>
      </c>
      <c r="G1198" t="s">
        <v>126</v>
      </c>
      <c r="H1198">
        <v>2</v>
      </c>
      <c r="I1198">
        <v>-6.074846156047033</v>
      </c>
      <c r="J1198">
        <v>0.3465735902799727</v>
      </c>
      <c r="L1198" t="s">
        <v>409</v>
      </c>
      <c r="M1198">
        <v>0</v>
      </c>
    </row>
    <row r="1199" spans="1:13">
      <c r="A1199" t="s">
        <v>499</v>
      </c>
      <c r="B1199">
        <v>1E-4</v>
      </c>
      <c r="C1199" t="s">
        <v>172</v>
      </c>
      <c r="E1199" t="s">
        <v>211</v>
      </c>
      <c r="F1199" t="s">
        <v>212</v>
      </c>
      <c r="G1199" t="s">
        <v>126</v>
      </c>
      <c r="H1199">
        <v>2</v>
      </c>
      <c r="I1199">
        <v>-9.2103403719761818</v>
      </c>
      <c r="J1199">
        <v>0.54930614433405478</v>
      </c>
      <c r="L1199" t="s">
        <v>500</v>
      </c>
      <c r="M1199">
        <v>0</v>
      </c>
    </row>
    <row r="1200" spans="1:13">
      <c r="A1200" t="s">
        <v>499</v>
      </c>
      <c r="B1200">
        <v>0.8</v>
      </c>
      <c r="C1200" t="s">
        <v>172</v>
      </c>
      <c r="E1200" t="s">
        <v>211</v>
      </c>
      <c r="F1200" t="s">
        <v>217</v>
      </c>
      <c r="G1200" t="s">
        <v>126</v>
      </c>
      <c r="H1200">
        <v>2</v>
      </c>
      <c r="I1200">
        <v>-0.22314355131420971</v>
      </c>
      <c r="J1200">
        <v>0.54930614433405478</v>
      </c>
      <c r="L1200" t="s">
        <v>500</v>
      </c>
      <c r="M1200">
        <v>0</v>
      </c>
    </row>
    <row r="1201" spans="1:16">
      <c r="A1201" t="s">
        <v>433</v>
      </c>
      <c r="B1201">
        <v>8.9399999999999993E-2</v>
      </c>
      <c r="C1201" t="s">
        <v>172</v>
      </c>
      <c r="E1201" t="s">
        <v>38</v>
      </c>
      <c r="F1201" t="s">
        <v>217</v>
      </c>
      <c r="G1201" t="s">
        <v>126</v>
      </c>
      <c r="H1201">
        <v>2</v>
      </c>
      <c r="I1201">
        <v>-2.414634596802669</v>
      </c>
      <c r="J1201">
        <v>0.3465735902799727</v>
      </c>
      <c r="L1201" t="s">
        <v>409</v>
      </c>
      <c r="M1201">
        <v>0</v>
      </c>
    </row>
    <row r="1202" spans="1:16">
      <c r="A1202" t="s">
        <v>230</v>
      </c>
      <c r="B1202">
        <v>1</v>
      </c>
      <c r="C1202" t="s">
        <v>1413</v>
      </c>
      <c r="D1202" t="s">
        <v>194</v>
      </c>
      <c r="E1202" t="s">
        <v>38</v>
      </c>
      <c r="F1202" t="s">
        <v>224</v>
      </c>
      <c r="G1202" t="s">
        <v>24</v>
      </c>
      <c r="K1202">
        <v>100</v>
      </c>
      <c r="L1202" t="s">
        <v>377</v>
      </c>
      <c r="O1202" t="s">
        <v>230</v>
      </c>
    </row>
    <row r="1203" spans="1:16">
      <c r="A1203" t="s">
        <v>501</v>
      </c>
      <c r="B1203">
        <v>7.15</v>
      </c>
      <c r="C1203" t="s">
        <v>1413</v>
      </c>
      <c r="D1203" t="s">
        <v>194</v>
      </c>
      <c r="E1203" t="s">
        <v>38</v>
      </c>
      <c r="F1203" t="s">
        <v>227</v>
      </c>
      <c r="G1203" t="s">
        <v>26</v>
      </c>
      <c r="H1203">
        <v>2</v>
      </c>
      <c r="I1203">
        <v>1.9671123567059161</v>
      </c>
      <c r="J1203">
        <v>4.7655089902162509E-2</v>
      </c>
      <c r="L1203" t="s">
        <v>502</v>
      </c>
      <c r="M1203">
        <v>0</v>
      </c>
      <c r="O1203" t="s">
        <v>501</v>
      </c>
    </row>
    <row r="1204" spans="1:16">
      <c r="A1204" t="s">
        <v>363</v>
      </c>
      <c r="B1204">
        <v>32</v>
      </c>
      <c r="C1204" t="s">
        <v>171</v>
      </c>
      <c r="D1204" t="s">
        <v>169</v>
      </c>
      <c r="E1204" t="s">
        <v>33</v>
      </c>
      <c r="F1204" t="s">
        <v>227</v>
      </c>
      <c r="G1204" t="s">
        <v>26</v>
      </c>
      <c r="H1204">
        <v>2</v>
      </c>
      <c r="I1204">
        <v>3.465735902799727</v>
      </c>
      <c r="J1204">
        <v>0.3465735902799727</v>
      </c>
      <c r="L1204" t="s">
        <v>435</v>
      </c>
      <c r="M1204">
        <v>0</v>
      </c>
      <c r="N1204" t="s">
        <v>363</v>
      </c>
      <c r="O1204" t="s">
        <v>363</v>
      </c>
      <c r="P1204" t="s">
        <v>364</v>
      </c>
    </row>
    <row r="1205" spans="1:16">
      <c r="A1205" t="s">
        <v>259</v>
      </c>
      <c r="B1205">
        <v>6.4999999999999997E-3</v>
      </c>
      <c r="C1205" t="s">
        <v>171</v>
      </c>
      <c r="D1205" t="s">
        <v>155</v>
      </c>
      <c r="E1205" t="s">
        <v>38</v>
      </c>
      <c r="F1205" t="s">
        <v>227</v>
      </c>
      <c r="G1205" t="s">
        <v>26</v>
      </c>
      <c r="H1205">
        <v>2</v>
      </c>
      <c r="I1205">
        <v>-5.0359531020805459</v>
      </c>
      <c r="J1205">
        <v>0.3465735902799727</v>
      </c>
      <c r="L1205" t="s">
        <v>298</v>
      </c>
      <c r="M1205">
        <v>0</v>
      </c>
      <c r="N1205" t="s">
        <v>260</v>
      </c>
      <c r="O1205" t="s">
        <v>260</v>
      </c>
      <c r="P1205" t="s">
        <v>261</v>
      </c>
    </row>
    <row r="1206" spans="1:16">
      <c r="A1206" t="s">
        <v>436</v>
      </c>
      <c r="B1206">
        <v>0.6</v>
      </c>
      <c r="C1206" t="s">
        <v>171</v>
      </c>
      <c r="D1206" t="s">
        <v>34</v>
      </c>
      <c r="E1206" t="s">
        <v>38</v>
      </c>
      <c r="F1206" t="s">
        <v>227</v>
      </c>
      <c r="G1206" t="s">
        <v>26</v>
      </c>
      <c r="H1206">
        <v>2</v>
      </c>
      <c r="I1206">
        <v>-0.51082562376599072</v>
      </c>
      <c r="J1206">
        <v>4.7655089902162509E-2</v>
      </c>
      <c r="L1206" t="s">
        <v>437</v>
      </c>
      <c r="M1206">
        <v>0</v>
      </c>
      <c r="N1206" t="s">
        <v>438</v>
      </c>
      <c r="O1206" t="s">
        <v>438</v>
      </c>
      <c r="P1206" t="s">
        <v>439</v>
      </c>
    </row>
    <row r="1207" spans="1:16">
      <c r="A1207" t="s">
        <v>365</v>
      </c>
      <c r="B1207">
        <v>36</v>
      </c>
      <c r="C1207" t="s">
        <v>171</v>
      </c>
      <c r="D1207" t="s">
        <v>194</v>
      </c>
      <c r="E1207" t="s">
        <v>8</v>
      </c>
      <c r="F1207" t="s">
        <v>227</v>
      </c>
      <c r="G1207" t="s">
        <v>26</v>
      </c>
      <c r="H1207">
        <v>2</v>
      </c>
      <c r="I1207">
        <v>3.5835189384561099</v>
      </c>
      <c r="J1207">
        <v>0.3465735902799727</v>
      </c>
      <c r="L1207" t="s">
        <v>435</v>
      </c>
      <c r="M1207">
        <v>0</v>
      </c>
      <c r="N1207" t="s">
        <v>366</v>
      </c>
      <c r="O1207" t="s">
        <v>366</v>
      </c>
      <c r="P1207" t="s">
        <v>367</v>
      </c>
    </row>
    <row r="1208" spans="1:16">
      <c r="A1208" t="s">
        <v>440</v>
      </c>
      <c r="B1208">
        <v>-3.3300000000000002E-4</v>
      </c>
      <c r="C1208" t="s">
        <v>171</v>
      </c>
      <c r="D1208" t="s">
        <v>34</v>
      </c>
      <c r="E1208" t="s">
        <v>119</v>
      </c>
      <c r="F1208" t="s">
        <v>247</v>
      </c>
      <c r="G1208" t="s">
        <v>26</v>
      </c>
      <c r="H1208">
        <v>2</v>
      </c>
      <c r="I1208">
        <v>-8.0073680679838297</v>
      </c>
      <c r="J1208">
        <v>0.54930614433405478</v>
      </c>
      <c r="L1208" t="s">
        <v>298</v>
      </c>
      <c r="M1208">
        <v>0</v>
      </c>
      <c r="N1208" t="s">
        <v>314</v>
      </c>
      <c r="O1208" t="s">
        <v>314</v>
      </c>
      <c r="P1208" t="s">
        <v>441</v>
      </c>
    </row>
    <row r="1209" spans="1:16">
      <c r="A1209" t="s">
        <v>442</v>
      </c>
      <c r="B1209">
        <v>3.7E-8</v>
      </c>
      <c r="C1209" t="s">
        <v>171</v>
      </c>
      <c r="D1209" t="s">
        <v>34</v>
      </c>
      <c r="E1209" t="s">
        <v>7</v>
      </c>
      <c r="F1209" t="s">
        <v>227</v>
      </c>
      <c r="G1209" t="s">
        <v>26</v>
      </c>
      <c r="H1209">
        <v>2</v>
      </c>
      <c r="I1209">
        <v>-17.112347924302188</v>
      </c>
      <c r="J1209">
        <v>0.20273255405408211</v>
      </c>
      <c r="L1209" t="s">
        <v>223</v>
      </c>
      <c r="M1209">
        <v>0</v>
      </c>
      <c r="N1209" t="s">
        <v>443</v>
      </c>
      <c r="O1209" t="s">
        <v>443</v>
      </c>
      <c r="P1209" t="s">
        <v>444</v>
      </c>
    </row>
    <row r="1210" spans="1:16">
      <c r="A1210" t="s">
        <v>1253</v>
      </c>
      <c r="B1210">
        <v>6.4999999999999997E-4</v>
      </c>
      <c r="C1210" t="s">
        <v>171</v>
      </c>
      <c r="D1210" t="s">
        <v>169</v>
      </c>
      <c r="E1210" t="s">
        <v>35</v>
      </c>
      <c r="F1210" t="s">
        <v>227</v>
      </c>
      <c r="G1210" t="s">
        <v>26</v>
      </c>
      <c r="H1210">
        <v>2</v>
      </c>
      <c r="I1210">
        <v>-7.3385381950745909</v>
      </c>
      <c r="J1210">
        <v>0.37096867236468872</v>
      </c>
      <c r="L1210" t="s">
        <v>301</v>
      </c>
      <c r="M1210">
        <v>0</v>
      </c>
      <c r="N1210" t="s">
        <v>1254</v>
      </c>
      <c r="O1210" t="s">
        <v>1254</v>
      </c>
      <c r="P1210" t="s">
        <v>332</v>
      </c>
    </row>
    <row r="1211" spans="1:16">
      <c r="A1211" t="s">
        <v>300</v>
      </c>
      <c r="B1211">
        <v>2.85</v>
      </c>
      <c r="C1211" t="s">
        <v>171</v>
      </c>
      <c r="D1211" t="s">
        <v>20</v>
      </c>
      <c r="E1211" t="s">
        <v>35</v>
      </c>
      <c r="F1211" t="s">
        <v>227</v>
      </c>
      <c r="G1211" t="s">
        <v>26</v>
      </c>
      <c r="H1211">
        <v>2</v>
      </c>
      <c r="I1211">
        <v>1.047318994280559</v>
      </c>
      <c r="J1211">
        <v>0.37096867236468872</v>
      </c>
      <c r="L1211" t="s">
        <v>301</v>
      </c>
      <c r="M1211">
        <v>0</v>
      </c>
      <c r="N1211" t="s">
        <v>1260</v>
      </c>
      <c r="O1211" t="s">
        <v>1260</v>
      </c>
      <c r="P1211" t="s">
        <v>303</v>
      </c>
    </row>
    <row r="1212" spans="1:16">
      <c r="A1212" t="s">
        <v>304</v>
      </c>
      <c r="B1212">
        <v>300</v>
      </c>
      <c r="C1212" t="s">
        <v>171</v>
      </c>
      <c r="D1212" t="s">
        <v>155</v>
      </c>
      <c r="E1212" t="s">
        <v>38</v>
      </c>
      <c r="F1212" t="s">
        <v>227</v>
      </c>
      <c r="G1212" t="s">
        <v>26</v>
      </c>
      <c r="H1212">
        <v>2</v>
      </c>
      <c r="I1212">
        <v>5.7037824746562009</v>
      </c>
      <c r="J1212">
        <v>0.3465735902799727</v>
      </c>
      <c r="L1212" t="s">
        <v>409</v>
      </c>
      <c r="M1212">
        <v>0</v>
      </c>
      <c r="N1212" t="s">
        <v>305</v>
      </c>
      <c r="O1212" t="s">
        <v>305</v>
      </c>
      <c r="P1212" t="s">
        <v>306</v>
      </c>
    </row>
    <row r="1213" spans="1:16">
      <c r="A1213" t="s">
        <v>445</v>
      </c>
      <c r="B1213">
        <v>-0.8</v>
      </c>
      <c r="C1213" t="s">
        <v>171</v>
      </c>
      <c r="D1213" t="s">
        <v>155</v>
      </c>
      <c r="E1213" t="s">
        <v>38</v>
      </c>
      <c r="F1213" t="s">
        <v>247</v>
      </c>
      <c r="G1213" t="s">
        <v>26</v>
      </c>
      <c r="H1213">
        <v>2</v>
      </c>
      <c r="I1213">
        <v>-0.22314355131420971</v>
      </c>
      <c r="J1213">
        <v>4.7655089902162509E-2</v>
      </c>
      <c r="L1213" t="s">
        <v>298</v>
      </c>
      <c r="M1213">
        <v>0</v>
      </c>
      <c r="N1213" t="s">
        <v>446</v>
      </c>
      <c r="O1213" t="s">
        <v>446</v>
      </c>
      <c r="P1213" t="s">
        <v>447</v>
      </c>
    </row>
    <row r="1214" spans="1:16">
      <c r="A1214" t="s">
        <v>448</v>
      </c>
      <c r="B1214">
        <v>-0.13500000000000001</v>
      </c>
      <c r="C1214" t="s">
        <v>171</v>
      </c>
      <c r="D1214" t="s">
        <v>155</v>
      </c>
      <c r="E1214" t="s">
        <v>119</v>
      </c>
      <c r="F1214" t="s">
        <v>247</v>
      </c>
      <c r="G1214" t="s">
        <v>26</v>
      </c>
      <c r="H1214">
        <v>2</v>
      </c>
      <c r="I1214">
        <v>-2.0024805005437081</v>
      </c>
      <c r="J1214">
        <v>0.3465735902799727</v>
      </c>
      <c r="L1214" t="s">
        <v>409</v>
      </c>
      <c r="M1214">
        <v>0</v>
      </c>
      <c r="N1214" t="s">
        <v>449</v>
      </c>
      <c r="O1214" t="s">
        <v>449</v>
      </c>
      <c r="P1214" t="s">
        <v>450</v>
      </c>
    </row>
    <row r="1216" spans="1:16">
      <c r="A1216" s="1" t="s">
        <v>0</v>
      </c>
      <c r="B1216" s="1" t="s">
        <v>230</v>
      </c>
    </row>
    <row r="1217" spans="1:16">
      <c r="A1217" t="s">
        <v>13</v>
      </c>
      <c r="B1217" t="s">
        <v>328</v>
      </c>
    </row>
    <row r="1218" spans="1:16">
      <c r="A1218" t="s">
        <v>1</v>
      </c>
      <c r="B1218" t="s">
        <v>20</v>
      </c>
    </row>
    <row r="1219" spans="1:16">
      <c r="A1219" t="s">
        <v>2</v>
      </c>
      <c r="B1219">
        <v>1</v>
      </c>
    </row>
    <row r="1220" spans="1:16">
      <c r="A1220" t="s">
        <v>3</v>
      </c>
      <c r="B1220" t="s">
        <v>230</v>
      </c>
    </row>
    <row r="1221" spans="1:16">
      <c r="A1221" t="s">
        <v>5</v>
      </c>
      <c r="B1221" t="s">
        <v>6</v>
      </c>
    </row>
    <row r="1222" spans="1:16">
      <c r="A1222" t="s">
        <v>7</v>
      </c>
      <c r="B1222" t="s">
        <v>38</v>
      </c>
    </row>
    <row r="1223" spans="1:16">
      <c r="A1223" s="1" t="s">
        <v>14</v>
      </c>
    </row>
    <row r="1224" spans="1:16">
      <c r="A1224" t="s">
        <v>15</v>
      </c>
      <c r="B1224" t="s">
        <v>16</v>
      </c>
      <c r="C1224" t="s">
        <v>17</v>
      </c>
      <c r="D1224" t="s">
        <v>1</v>
      </c>
      <c r="E1224" t="s">
        <v>7</v>
      </c>
      <c r="F1224" t="s">
        <v>18</v>
      </c>
      <c r="G1224" t="s">
        <v>5</v>
      </c>
      <c r="H1224" t="s">
        <v>203</v>
      </c>
      <c r="I1224" t="s">
        <v>204</v>
      </c>
      <c r="J1224" t="s">
        <v>205</v>
      </c>
      <c r="K1224" t="s">
        <v>206</v>
      </c>
      <c r="L1224" t="s">
        <v>13</v>
      </c>
      <c r="M1224" t="s">
        <v>207</v>
      </c>
      <c r="N1224" t="s">
        <v>208</v>
      </c>
      <c r="O1224" t="s">
        <v>3</v>
      </c>
      <c r="P1224" t="s">
        <v>209</v>
      </c>
    </row>
    <row r="1225" spans="1:16">
      <c r="A1225" t="s">
        <v>408</v>
      </c>
      <c r="B1225">
        <v>5.8099999999999999E-2</v>
      </c>
      <c r="C1225" t="s">
        <v>172</v>
      </c>
      <c r="E1225" t="s">
        <v>38</v>
      </c>
      <c r="F1225" t="s">
        <v>217</v>
      </c>
      <c r="G1225" t="s">
        <v>126</v>
      </c>
      <c r="H1225">
        <v>2</v>
      </c>
      <c r="I1225">
        <v>-2.845589615124271</v>
      </c>
      <c r="J1225">
        <v>0.3465735902799727</v>
      </c>
      <c r="L1225" t="s">
        <v>409</v>
      </c>
      <c r="M1225">
        <v>0</v>
      </c>
    </row>
    <row r="1226" spans="1:16">
      <c r="A1226" t="s">
        <v>410</v>
      </c>
      <c r="B1226">
        <v>3.13E-3</v>
      </c>
      <c r="C1226" t="s">
        <v>172</v>
      </c>
      <c r="E1226" t="s">
        <v>38</v>
      </c>
      <c r="F1226" t="s">
        <v>217</v>
      </c>
      <c r="G1226" t="s">
        <v>126</v>
      </c>
      <c r="H1226">
        <v>2</v>
      </c>
      <c r="I1226">
        <v>-5.7667222744300748</v>
      </c>
      <c r="J1226">
        <v>0.3465735902799727</v>
      </c>
      <c r="L1226" t="s">
        <v>409</v>
      </c>
      <c r="M1226">
        <v>0</v>
      </c>
    </row>
    <row r="1227" spans="1:16">
      <c r="A1227" t="s">
        <v>411</v>
      </c>
      <c r="B1227">
        <v>6.3899999999999995E-5</v>
      </c>
      <c r="C1227" t="s">
        <v>172</v>
      </c>
      <c r="E1227" t="s">
        <v>38</v>
      </c>
      <c r="F1227" t="s">
        <v>217</v>
      </c>
      <c r="G1227" t="s">
        <v>126</v>
      </c>
      <c r="H1227">
        <v>2</v>
      </c>
      <c r="I1227">
        <v>-9.6581911965807858</v>
      </c>
      <c r="J1227">
        <v>0.3465735902799727</v>
      </c>
      <c r="L1227" t="s">
        <v>409</v>
      </c>
      <c r="M1227">
        <v>0</v>
      </c>
    </row>
    <row r="1228" spans="1:16">
      <c r="A1228" t="s">
        <v>412</v>
      </c>
      <c r="B1228">
        <v>1.66E-2</v>
      </c>
      <c r="C1228" t="s">
        <v>172</v>
      </c>
      <c r="E1228" t="s">
        <v>38</v>
      </c>
      <c r="F1228" t="s">
        <v>217</v>
      </c>
      <c r="G1228" t="s">
        <v>126</v>
      </c>
      <c r="H1228">
        <v>2</v>
      </c>
      <c r="I1228">
        <v>-4.0983525836196391</v>
      </c>
      <c r="J1228">
        <v>0.3465735902799727</v>
      </c>
      <c r="L1228" t="s">
        <v>409</v>
      </c>
      <c r="M1228">
        <v>0</v>
      </c>
    </row>
    <row r="1229" spans="1:16">
      <c r="A1229" t="s">
        <v>413</v>
      </c>
      <c r="B1229">
        <v>8.3000000000000004E-2</v>
      </c>
      <c r="C1229" t="s">
        <v>172</v>
      </c>
      <c r="E1229" t="s">
        <v>38</v>
      </c>
      <c r="F1229" t="s">
        <v>217</v>
      </c>
      <c r="G1229" t="s">
        <v>126</v>
      </c>
      <c r="H1229">
        <v>2</v>
      </c>
      <c r="I1229">
        <v>-2.488914671185539</v>
      </c>
      <c r="J1229">
        <v>0.3465735902799727</v>
      </c>
      <c r="L1229" t="s">
        <v>409</v>
      </c>
      <c r="M1229">
        <v>0</v>
      </c>
    </row>
    <row r="1230" spans="1:16">
      <c r="A1230" t="s">
        <v>414</v>
      </c>
      <c r="B1230">
        <v>7.0299999999999998E-3</v>
      </c>
      <c r="C1230" t="s">
        <v>172</v>
      </c>
      <c r="E1230" t="s">
        <v>38</v>
      </c>
      <c r="F1230" t="s">
        <v>217</v>
      </c>
      <c r="G1230" t="s">
        <v>126</v>
      </c>
      <c r="H1230">
        <v>2</v>
      </c>
      <c r="I1230">
        <v>-4.9575685731595636</v>
      </c>
      <c r="J1230">
        <v>0.3465735902799727</v>
      </c>
      <c r="L1230" t="s">
        <v>409</v>
      </c>
      <c r="M1230">
        <v>0</v>
      </c>
    </row>
    <row r="1231" spans="1:16">
      <c r="A1231" t="s">
        <v>415</v>
      </c>
      <c r="B1231">
        <v>3.5799999999999998E-2</v>
      </c>
      <c r="C1231" t="s">
        <v>172</v>
      </c>
      <c r="E1231" t="s">
        <v>38</v>
      </c>
      <c r="F1231" t="s">
        <v>217</v>
      </c>
      <c r="G1231" t="s">
        <v>126</v>
      </c>
      <c r="H1231">
        <v>2</v>
      </c>
      <c r="I1231">
        <v>-3.3298073855754819</v>
      </c>
      <c r="J1231">
        <v>0.3465735902799727</v>
      </c>
      <c r="L1231" t="s">
        <v>409</v>
      </c>
      <c r="M1231">
        <v>0</v>
      </c>
    </row>
    <row r="1232" spans="1:16">
      <c r="A1232" t="s">
        <v>214</v>
      </c>
      <c r="B1232">
        <v>80</v>
      </c>
      <c r="C1232" t="s">
        <v>172</v>
      </c>
      <c r="E1232" t="s">
        <v>33</v>
      </c>
      <c r="F1232" t="s">
        <v>212</v>
      </c>
      <c r="G1232" t="s">
        <v>126</v>
      </c>
      <c r="H1232">
        <v>2</v>
      </c>
      <c r="I1232">
        <v>4.3820266346738812</v>
      </c>
      <c r="J1232">
        <v>0.54930614433405478</v>
      </c>
      <c r="L1232" t="s">
        <v>416</v>
      </c>
      <c r="M1232">
        <v>0</v>
      </c>
    </row>
    <row r="1233" spans="1:13">
      <c r="A1233" t="s">
        <v>417</v>
      </c>
      <c r="B1233">
        <v>1.5300000000000001E-4</v>
      </c>
      <c r="C1233" t="s">
        <v>172</v>
      </c>
      <c r="E1233" t="s">
        <v>38</v>
      </c>
      <c r="F1233" t="s">
        <v>217</v>
      </c>
      <c r="G1233" t="s">
        <v>126</v>
      </c>
      <c r="H1233">
        <v>2</v>
      </c>
      <c r="I1233">
        <v>-8.7850726365718383</v>
      </c>
      <c r="J1233">
        <v>0.3465735902799727</v>
      </c>
      <c r="L1233" t="s">
        <v>409</v>
      </c>
      <c r="M1233">
        <v>0</v>
      </c>
    </row>
    <row r="1234" spans="1:13">
      <c r="A1234" t="s">
        <v>418</v>
      </c>
      <c r="B1234">
        <v>4.0200000000000001E-4</v>
      </c>
      <c r="C1234" t="s">
        <v>172</v>
      </c>
      <c r="E1234" t="s">
        <v>38</v>
      </c>
      <c r="F1234" t="s">
        <v>217</v>
      </c>
      <c r="G1234" t="s">
        <v>126</v>
      </c>
      <c r="H1234">
        <v>2</v>
      </c>
      <c r="I1234">
        <v>-7.8190584693452534</v>
      </c>
      <c r="J1234">
        <v>0.3465735902799727</v>
      </c>
      <c r="L1234" t="s">
        <v>409</v>
      </c>
      <c r="M1234">
        <v>0</v>
      </c>
    </row>
    <row r="1235" spans="1:13">
      <c r="A1235" t="s">
        <v>419</v>
      </c>
      <c r="B1235">
        <v>1.0200000000000001E-5</v>
      </c>
      <c r="C1235" t="s">
        <v>172</v>
      </c>
      <c r="E1235" t="s">
        <v>38</v>
      </c>
      <c r="F1235" t="s">
        <v>217</v>
      </c>
      <c r="G1235" t="s">
        <v>126</v>
      </c>
      <c r="H1235">
        <v>2</v>
      </c>
      <c r="I1235">
        <v>-11.493122837674051</v>
      </c>
      <c r="J1235">
        <v>0.3465735902799727</v>
      </c>
      <c r="L1235" t="s">
        <v>409</v>
      </c>
      <c r="M1235">
        <v>0</v>
      </c>
    </row>
    <row r="1236" spans="1:13">
      <c r="A1236" t="s">
        <v>420</v>
      </c>
      <c r="B1236">
        <v>2.7500000000000001E-5</v>
      </c>
      <c r="C1236" t="s">
        <v>172</v>
      </c>
      <c r="E1236" t="s">
        <v>38</v>
      </c>
      <c r="F1236" t="s">
        <v>217</v>
      </c>
      <c r="G1236" t="s">
        <v>126</v>
      </c>
      <c r="H1236">
        <v>2</v>
      </c>
      <c r="I1236">
        <v>-10.501324553291751</v>
      </c>
      <c r="J1236">
        <v>0.3465735902799727</v>
      </c>
      <c r="L1236" t="s">
        <v>409</v>
      </c>
      <c r="M1236">
        <v>0</v>
      </c>
    </row>
    <row r="1237" spans="1:13">
      <c r="A1237" t="s">
        <v>421</v>
      </c>
      <c r="B1237">
        <v>3.3E-3</v>
      </c>
      <c r="C1237" t="s">
        <v>172</v>
      </c>
      <c r="E1237" t="s">
        <v>38</v>
      </c>
      <c r="F1237" t="s">
        <v>212</v>
      </c>
      <c r="G1237" t="s">
        <v>126</v>
      </c>
      <c r="H1237">
        <v>2</v>
      </c>
      <c r="I1237">
        <v>-5.7138328105097029</v>
      </c>
      <c r="J1237">
        <v>0.3465735902799727</v>
      </c>
      <c r="L1237" t="s">
        <v>409</v>
      </c>
      <c r="M1237">
        <v>0</v>
      </c>
    </row>
    <row r="1238" spans="1:13">
      <c r="A1238" t="s">
        <v>422</v>
      </c>
      <c r="B1238">
        <v>1.47E-4</v>
      </c>
      <c r="C1238" t="s">
        <v>172</v>
      </c>
      <c r="E1238" t="s">
        <v>38</v>
      </c>
      <c r="F1238" t="s">
        <v>217</v>
      </c>
      <c r="G1238" t="s">
        <v>126</v>
      </c>
      <c r="H1238">
        <v>2</v>
      </c>
      <c r="I1238">
        <v>-8.8250779711855376</v>
      </c>
      <c r="J1238">
        <v>0.3465735902799727</v>
      </c>
      <c r="L1238" t="s">
        <v>409</v>
      </c>
      <c r="M1238">
        <v>0</v>
      </c>
    </row>
    <row r="1239" spans="1:13">
      <c r="A1239" t="s">
        <v>423</v>
      </c>
      <c r="B1239">
        <v>7.0300000000000001E-2</v>
      </c>
      <c r="C1239" t="s">
        <v>172</v>
      </c>
      <c r="E1239" t="s">
        <v>38</v>
      </c>
      <c r="F1239" t="s">
        <v>217</v>
      </c>
      <c r="G1239" t="s">
        <v>126</v>
      </c>
      <c r="H1239">
        <v>2</v>
      </c>
      <c r="I1239">
        <v>-2.6549834801655181</v>
      </c>
      <c r="J1239">
        <v>0.3465735902799727</v>
      </c>
      <c r="L1239" t="s">
        <v>409</v>
      </c>
      <c r="M1239">
        <v>0</v>
      </c>
    </row>
    <row r="1240" spans="1:13">
      <c r="A1240" t="s">
        <v>424</v>
      </c>
      <c r="B1240">
        <v>0.03</v>
      </c>
      <c r="C1240" t="s">
        <v>172</v>
      </c>
      <c r="E1240" t="s">
        <v>38</v>
      </c>
      <c r="F1240" t="s">
        <v>212</v>
      </c>
      <c r="G1240" t="s">
        <v>126</v>
      </c>
      <c r="H1240">
        <v>2</v>
      </c>
      <c r="I1240">
        <v>-3.5065578973199818</v>
      </c>
      <c r="J1240">
        <v>0.3465735902799727</v>
      </c>
      <c r="L1240" t="s">
        <v>409</v>
      </c>
      <c r="M1240">
        <v>0</v>
      </c>
    </row>
    <row r="1241" spans="1:13">
      <c r="A1241" t="s">
        <v>425</v>
      </c>
      <c r="B1241">
        <v>1.2800000000000001E-3</v>
      </c>
      <c r="C1241" t="s">
        <v>172</v>
      </c>
      <c r="E1241" t="s">
        <v>38</v>
      </c>
      <c r="F1241" t="s">
        <v>217</v>
      </c>
      <c r="G1241" t="s">
        <v>126</v>
      </c>
      <c r="H1241">
        <v>2</v>
      </c>
      <c r="I1241">
        <v>-6.6608952010506108</v>
      </c>
      <c r="J1241">
        <v>0.3465735902799727</v>
      </c>
      <c r="L1241" t="s">
        <v>409</v>
      </c>
      <c r="M1241">
        <v>0</v>
      </c>
    </row>
    <row r="1242" spans="1:13">
      <c r="A1242" t="s">
        <v>426</v>
      </c>
      <c r="B1242">
        <v>2.1699999999999999E-4</v>
      </c>
      <c r="C1242" t="s">
        <v>172</v>
      </c>
      <c r="E1242" t="s">
        <v>38</v>
      </c>
      <c r="F1242" t="s">
        <v>217</v>
      </c>
      <c r="G1242" t="s">
        <v>126</v>
      </c>
      <c r="H1242">
        <v>2</v>
      </c>
      <c r="I1242">
        <v>-8.4356132044238148</v>
      </c>
      <c r="J1242">
        <v>0.3465735902799727</v>
      </c>
      <c r="L1242" t="s">
        <v>409</v>
      </c>
      <c r="M1242">
        <v>0</v>
      </c>
    </row>
    <row r="1243" spans="1:13">
      <c r="A1243" t="s">
        <v>428</v>
      </c>
      <c r="B1243">
        <v>2.1699999999999999E-5</v>
      </c>
      <c r="C1243" t="s">
        <v>172</v>
      </c>
      <c r="E1243" t="s">
        <v>38</v>
      </c>
      <c r="F1243" t="s">
        <v>217</v>
      </c>
      <c r="G1243" t="s">
        <v>126</v>
      </c>
      <c r="H1243">
        <v>2</v>
      </c>
      <c r="I1243">
        <v>-10.73819829741786</v>
      </c>
      <c r="J1243">
        <v>0.3465735902799727</v>
      </c>
      <c r="L1243" t="s">
        <v>409</v>
      </c>
      <c r="M1243">
        <v>0</v>
      </c>
    </row>
    <row r="1244" spans="1:13">
      <c r="A1244" t="s">
        <v>429</v>
      </c>
      <c r="B1244">
        <v>8.94E-3</v>
      </c>
      <c r="C1244" t="s">
        <v>172</v>
      </c>
      <c r="E1244" t="s">
        <v>38</v>
      </c>
      <c r="F1244" t="s">
        <v>217</v>
      </c>
      <c r="G1244" t="s">
        <v>126</v>
      </c>
      <c r="H1244">
        <v>2</v>
      </c>
      <c r="I1244">
        <v>-4.717219689796714</v>
      </c>
      <c r="J1244">
        <v>0.3465735902799727</v>
      </c>
      <c r="L1244" t="s">
        <v>409</v>
      </c>
      <c r="M1244">
        <v>0</v>
      </c>
    </row>
    <row r="1245" spans="1:13">
      <c r="A1245" t="s">
        <v>430</v>
      </c>
      <c r="B1245">
        <v>1.21E-2</v>
      </c>
      <c r="C1245" t="s">
        <v>172</v>
      </c>
      <c r="E1245" t="s">
        <v>38</v>
      </c>
      <c r="F1245" t="s">
        <v>217</v>
      </c>
      <c r="G1245" t="s">
        <v>126</v>
      </c>
      <c r="H1245">
        <v>2</v>
      </c>
      <c r="I1245">
        <v>-4.4145498263794414</v>
      </c>
      <c r="J1245">
        <v>0.3465735902799727</v>
      </c>
      <c r="L1245" t="s">
        <v>409</v>
      </c>
      <c r="M1245">
        <v>0</v>
      </c>
    </row>
    <row r="1246" spans="1:13">
      <c r="A1246" t="s">
        <v>431</v>
      </c>
      <c r="B1246">
        <v>1.85E-4</v>
      </c>
      <c r="C1246" t="s">
        <v>172</v>
      </c>
      <c r="E1246" t="s">
        <v>38</v>
      </c>
      <c r="F1246" t="s">
        <v>217</v>
      </c>
      <c r="G1246" t="s">
        <v>126</v>
      </c>
      <c r="H1246">
        <v>2</v>
      </c>
      <c r="I1246">
        <v>-8.5951547328859501</v>
      </c>
      <c r="J1246">
        <v>0.3465735902799727</v>
      </c>
      <c r="L1246" t="s">
        <v>409</v>
      </c>
      <c r="M1246">
        <v>0</v>
      </c>
    </row>
    <row r="1247" spans="1:13">
      <c r="A1247" t="s">
        <v>432</v>
      </c>
      <c r="B1247">
        <v>2.3E-3</v>
      </c>
      <c r="C1247" t="s">
        <v>172</v>
      </c>
      <c r="E1247" t="s">
        <v>38</v>
      </c>
      <c r="F1247" t="s">
        <v>217</v>
      </c>
      <c r="G1247" t="s">
        <v>126</v>
      </c>
      <c r="H1247">
        <v>2</v>
      </c>
      <c r="I1247">
        <v>-6.074846156047033</v>
      </c>
      <c r="J1247">
        <v>0.3465735902799727</v>
      </c>
      <c r="L1247" t="s">
        <v>409</v>
      </c>
      <c r="M1247">
        <v>0</v>
      </c>
    </row>
    <row r="1248" spans="1:13">
      <c r="A1248" t="s">
        <v>499</v>
      </c>
      <c r="B1248">
        <v>1E-4</v>
      </c>
      <c r="C1248" t="s">
        <v>172</v>
      </c>
      <c r="E1248" t="s">
        <v>211</v>
      </c>
      <c r="F1248" t="s">
        <v>212</v>
      </c>
      <c r="G1248" t="s">
        <v>126</v>
      </c>
      <c r="H1248">
        <v>2</v>
      </c>
      <c r="I1248">
        <v>-9.2103403719761818</v>
      </c>
      <c r="J1248">
        <v>0.54930614433405478</v>
      </c>
      <c r="L1248" t="s">
        <v>500</v>
      </c>
      <c r="M1248">
        <v>0</v>
      </c>
    </row>
    <row r="1249" spans="1:16">
      <c r="A1249" t="s">
        <v>499</v>
      </c>
      <c r="B1249">
        <v>0.8</v>
      </c>
      <c r="C1249" t="s">
        <v>172</v>
      </c>
      <c r="E1249" t="s">
        <v>211</v>
      </c>
      <c r="F1249" t="s">
        <v>217</v>
      </c>
      <c r="G1249" t="s">
        <v>126</v>
      </c>
      <c r="H1249">
        <v>2</v>
      </c>
      <c r="I1249">
        <v>-0.22314355131420971</v>
      </c>
      <c r="J1249">
        <v>0.54930614433405478</v>
      </c>
      <c r="L1249" t="s">
        <v>500</v>
      </c>
      <c r="M1249">
        <v>0</v>
      </c>
    </row>
    <row r="1250" spans="1:16">
      <c r="A1250" t="s">
        <v>433</v>
      </c>
      <c r="B1250">
        <v>8.9399999999999993E-2</v>
      </c>
      <c r="C1250" t="s">
        <v>172</v>
      </c>
      <c r="E1250" t="s">
        <v>38</v>
      </c>
      <c r="F1250" t="s">
        <v>217</v>
      </c>
      <c r="G1250" t="s">
        <v>126</v>
      </c>
      <c r="H1250">
        <v>2</v>
      </c>
      <c r="I1250">
        <v>-2.414634596802669</v>
      </c>
      <c r="J1250">
        <v>0.3465735902799727</v>
      </c>
      <c r="L1250" t="s">
        <v>409</v>
      </c>
      <c r="M1250">
        <v>0</v>
      </c>
    </row>
    <row r="1251" spans="1:16">
      <c r="A1251" t="s">
        <v>230</v>
      </c>
      <c r="B1251">
        <v>1</v>
      </c>
      <c r="C1251" t="s">
        <v>1413</v>
      </c>
      <c r="D1251" t="s">
        <v>20</v>
      </c>
      <c r="E1251" t="s">
        <v>38</v>
      </c>
      <c r="F1251" t="s">
        <v>224</v>
      </c>
      <c r="G1251" t="s">
        <v>24</v>
      </c>
      <c r="K1251">
        <v>100</v>
      </c>
      <c r="L1251" t="s">
        <v>377</v>
      </c>
      <c r="O1251" t="s">
        <v>230</v>
      </c>
    </row>
    <row r="1252" spans="1:16">
      <c r="A1252" t="s">
        <v>503</v>
      </c>
      <c r="B1252">
        <v>7.15</v>
      </c>
      <c r="C1252" t="s">
        <v>1413</v>
      </c>
      <c r="D1252" t="s">
        <v>20</v>
      </c>
      <c r="E1252" t="s">
        <v>38</v>
      </c>
      <c r="F1252" t="s">
        <v>227</v>
      </c>
      <c r="G1252" t="s">
        <v>26</v>
      </c>
      <c r="H1252">
        <v>2</v>
      </c>
      <c r="I1252">
        <v>1.9671123567059161</v>
      </c>
      <c r="J1252">
        <v>4.7655089902162509E-2</v>
      </c>
      <c r="L1252" t="s">
        <v>502</v>
      </c>
      <c r="M1252">
        <v>0</v>
      </c>
      <c r="O1252" t="s">
        <v>503</v>
      </c>
    </row>
    <row r="1253" spans="1:16">
      <c r="A1253" t="s">
        <v>363</v>
      </c>
      <c r="B1253">
        <v>32</v>
      </c>
      <c r="C1253" t="s">
        <v>171</v>
      </c>
      <c r="D1253" t="s">
        <v>169</v>
      </c>
      <c r="E1253" t="s">
        <v>33</v>
      </c>
      <c r="F1253" t="s">
        <v>227</v>
      </c>
      <c r="G1253" t="s">
        <v>26</v>
      </c>
      <c r="H1253">
        <v>2</v>
      </c>
      <c r="I1253">
        <v>3.465735902799727</v>
      </c>
      <c r="J1253">
        <v>0.3465735902799727</v>
      </c>
      <c r="L1253" t="s">
        <v>435</v>
      </c>
      <c r="M1253">
        <v>0</v>
      </c>
      <c r="N1253" t="s">
        <v>363</v>
      </c>
      <c r="O1253" t="s">
        <v>363</v>
      </c>
      <c r="P1253" t="s">
        <v>364</v>
      </c>
    </row>
    <row r="1254" spans="1:16">
      <c r="A1254" t="s">
        <v>259</v>
      </c>
      <c r="B1254">
        <v>6.4999999999999997E-3</v>
      </c>
      <c r="C1254" t="s">
        <v>171</v>
      </c>
      <c r="D1254" t="s">
        <v>155</v>
      </c>
      <c r="E1254" t="s">
        <v>38</v>
      </c>
      <c r="F1254" t="s">
        <v>227</v>
      </c>
      <c r="G1254" t="s">
        <v>26</v>
      </c>
      <c r="H1254">
        <v>2</v>
      </c>
      <c r="I1254">
        <v>-5.0359531020805459</v>
      </c>
      <c r="J1254">
        <v>0.3465735902799727</v>
      </c>
      <c r="L1254" t="s">
        <v>298</v>
      </c>
      <c r="M1254">
        <v>0</v>
      </c>
      <c r="N1254" t="s">
        <v>260</v>
      </c>
      <c r="O1254" t="s">
        <v>260</v>
      </c>
      <c r="P1254" t="s">
        <v>261</v>
      </c>
    </row>
    <row r="1255" spans="1:16">
      <c r="A1255" t="s">
        <v>436</v>
      </c>
      <c r="B1255">
        <v>0.6</v>
      </c>
      <c r="C1255" t="s">
        <v>171</v>
      </c>
      <c r="D1255" t="s">
        <v>34</v>
      </c>
      <c r="E1255" t="s">
        <v>38</v>
      </c>
      <c r="F1255" t="s">
        <v>227</v>
      </c>
      <c r="G1255" t="s">
        <v>26</v>
      </c>
      <c r="H1255">
        <v>2</v>
      </c>
      <c r="I1255">
        <v>-0.51082562376599072</v>
      </c>
      <c r="J1255">
        <v>4.7655089902162509E-2</v>
      </c>
      <c r="L1255" t="s">
        <v>437</v>
      </c>
      <c r="M1255">
        <v>0</v>
      </c>
      <c r="N1255" t="s">
        <v>438</v>
      </c>
      <c r="O1255" t="s">
        <v>438</v>
      </c>
      <c r="P1255" t="s">
        <v>439</v>
      </c>
    </row>
    <row r="1256" spans="1:16">
      <c r="A1256" t="s">
        <v>440</v>
      </c>
      <c r="B1256">
        <v>-3.3300000000000002E-4</v>
      </c>
      <c r="C1256" t="s">
        <v>171</v>
      </c>
      <c r="D1256" t="s">
        <v>34</v>
      </c>
      <c r="E1256" t="s">
        <v>119</v>
      </c>
      <c r="F1256" t="s">
        <v>247</v>
      </c>
      <c r="G1256" t="s">
        <v>26</v>
      </c>
      <c r="H1256">
        <v>2</v>
      </c>
      <c r="I1256">
        <v>-8.0073680679838297</v>
      </c>
      <c r="J1256">
        <v>0.54930614433405478</v>
      </c>
      <c r="L1256" t="s">
        <v>298</v>
      </c>
      <c r="M1256">
        <v>0</v>
      </c>
      <c r="N1256" t="s">
        <v>314</v>
      </c>
      <c r="O1256" t="s">
        <v>314</v>
      </c>
      <c r="P1256" t="s">
        <v>441</v>
      </c>
    </row>
    <row r="1257" spans="1:16">
      <c r="A1257" t="s">
        <v>442</v>
      </c>
      <c r="B1257">
        <v>3.7E-8</v>
      </c>
      <c r="C1257" t="s">
        <v>171</v>
      </c>
      <c r="D1257" t="s">
        <v>34</v>
      </c>
      <c r="E1257" t="s">
        <v>7</v>
      </c>
      <c r="F1257" t="s">
        <v>227</v>
      </c>
      <c r="G1257" t="s">
        <v>26</v>
      </c>
      <c r="H1257">
        <v>2</v>
      </c>
      <c r="I1257">
        <v>-17.112347924302188</v>
      </c>
      <c r="J1257">
        <v>0.20273255405408211</v>
      </c>
      <c r="L1257" t="s">
        <v>223</v>
      </c>
      <c r="M1257">
        <v>0</v>
      </c>
      <c r="N1257" t="s">
        <v>443</v>
      </c>
      <c r="O1257" t="s">
        <v>443</v>
      </c>
      <c r="P1257" t="s">
        <v>444</v>
      </c>
    </row>
    <row r="1258" spans="1:16">
      <c r="A1258" t="s">
        <v>1253</v>
      </c>
      <c r="B1258">
        <v>6.4999999999999997E-4</v>
      </c>
      <c r="C1258" t="s">
        <v>171</v>
      </c>
      <c r="D1258" t="s">
        <v>169</v>
      </c>
      <c r="E1258" t="s">
        <v>35</v>
      </c>
      <c r="F1258" t="s">
        <v>227</v>
      </c>
      <c r="G1258" t="s">
        <v>26</v>
      </c>
      <c r="H1258">
        <v>2</v>
      </c>
      <c r="I1258">
        <v>-7.3385381950745909</v>
      </c>
      <c r="J1258">
        <v>0.37096867236468872</v>
      </c>
      <c r="L1258" t="s">
        <v>301</v>
      </c>
      <c r="M1258">
        <v>0</v>
      </c>
      <c r="N1258" t="s">
        <v>1254</v>
      </c>
      <c r="O1258" t="s">
        <v>1254</v>
      </c>
      <c r="P1258" t="s">
        <v>332</v>
      </c>
    </row>
    <row r="1259" spans="1:16">
      <c r="A1259" t="s">
        <v>300</v>
      </c>
      <c r="B1259">
        <v>2.85</v>
      </c>
      <c r="C1259" t="s">
        <v>171</v>
      </c>
      <c r="D1259" t="s">
        <v>20</v>
      </c>
      <c r="E1259" t="s">
        <v>35</v>
      </c>
      <c r="F1259" t="s">
        <v>227</v>
      </c>
      <c r="G1259" t="s">
        <v>26</v>
      </c>
      <c r="H1259">
        <v>2</v>
      </c>
      <c r="I1259">
        <v>1.047318994280559</v>
      </c>
      <c r="J1259">
        <v>0.37096867236468872</v>
      </c>
      <c r="L1259" t="s">
        <v>301</v>
      </c>
      <c r="M1259">
        <v>0</v>
      </c>
      <c r="N1259" t="s">
        <v>1260</v>
      </c>
      <c r="O1259" t="s">
        <v>1260</v>
      </c>
      <c r="P1259" t="s">
        <v>303</v>
      </c>
    </row>
    <row r="1260" spans="1:16">
      <c r="A1260" t="s">
        <v>304</v>
      </c>
      <c r="B1260">
        <v>300</v>
      </c>
      <c r="C1260" t="s">
        <v>171</v>
      </c>
      <c r="D1260" t="s">
        <v>155</v>
      </c>
      <c r="E1260" t="s">
        <v>38</v>
      </c>
      <c r="F1260" t="s">
        <v>227</v>
      </c>
      <c r="G1260" t="s">
        <v>26</v>
      </c>
      <c r="H1260">
        <v>2</v>
      </c>
      <c r="I1260">
        <v>5.7037824746562009</v>
      </c>
      <c r="J1260">
        <v>0.3465735902799727</v>
      </c>
      <c r="L1260" t="s">
        <v>409</v>
      </c>
      <c r="M1260">
        <v>0</v>
      </c>
      <c r="N1260" t="s">
        <v>305</v>
      </c>
      <c r="O1260" t="s">
        <v>305</v>
      </c>
      <c r="P1260" t="s">
        <v>306</v>
      </c>
    </row>
    <row r="1261" spans="1:16">
      <c r="A1261" t="s">
        <v>368</v>
      </c>
      <c r="B1261">
        <v>36</v>
      </c>
      <c r="C1261" t="s">
        <v>171</v>
      </c>
      <c r="D1261" t="s">
        <v>369</v>
      </c>
      <c r="E1261" t="s">
        <v>8</v>
      </c>
      <c r="F1261" t="s">
        <v>227</v>
      </c>
      <c r="G1261" t="s">
        <v>26</v>
      </c>
      <c r="H1261">
        <v>2</v>
      </c>
      <c r="I1261">
        <v>3.5835189384561099</v>
      </c>
      <c r="J1261">
        <v>0.3465735902799727</v>
      </c>
      <c r="L1261" t="s">
        <v>435</v>
      </c>
      <c r="M1261">
        <v>0</v>
      </c>
      <c r="N1261" t="s">
        <v>366</v>
      </c>
      <c r="O1261" t="s">
        <v>366</v>
      </c>
      <c r="P1261" t="s">
        <v>370</v>
      </c>
    </row>
    <row r="1262" spans="1:16">
      <c r="A1262" t="s">
        <v>445</v>
      </c>
      <c r="B1262">
        <v>-0.8</v>
      </c>
      <c r="C1262" t="s">
        <v>171</v>
      </c>
      <c r="D1262" t="s">
        <v>155</v>
      </c>
      <c r="E1262" t="s">
        <v>38</v>
      </c>
      <c r="F1262" t="s">
        <v>247</v>
      </c>
      <c r="G1262" t="s">
        <v>26</v>
      </c>
      <c r="H1262">
        <v>2</v>
      </c>
      <c r="I1262">
        <v>-0.22314355131420971</v>
      </c>
      <c r="J1262">
        <v>4.7655089902162509E-2</v>
      </c>
      <c r="L1262" t="s">
        <v>298</v>
      </c>
      <c r="M1262">
        <v>0</v>
      </c>
      <c r="N1262" t="s">
        <v>446</v>
      </c>
      <c r="O1262" t="s">
        <v>446</v>
      </c>
      <c r="P1262" t="s">
        <v>447</v>
      </c>
    </row>
    <row r="1263" spans="1:16">
      <c r="A1263" t="s">
        <v>448</v>
      </c>
      <c r="B1263">
        <v>-0.13500000000000001</v>
      </c>
      <c r="C1263" t="s">
        <v>171</v>
      </c>
      <c r="D1263" t="s">
        <v>155</v>
      </c>
      <c r="E1263" t="s">
        <v>119</v>
      </c>
      <c r="F1263" t="s">
        <v>247</v>
      </c>
      <c r="G1263" t="s">
        <v>26</v>
      </c>
      <c r="H1263">
        <v>2</v>
      </c>
      <c r="I1263">
        <v>-2.0024805005437081</v>
      </c>
      <c r="J1263">
        <v>0.3465735902799727</v>
      </c>
      <c r="L1263" t="s">
        <v>409</v>
      </c>
      <c r="M1263">
        <v>0</v>
      </c>
      <c r="N1263" t="s">
        <v>449</v>
      </c>
      <c r="O1263" t="s">
        <v>449</v>
      </c>
      <c r="P1263" t="s">
        <v>450</v>
      </c>
    </row>
    <row r="1265" spans="1:16">
      <c r="A1265" s="1" t="s">
        <v>0</v>
      </c>
      <c r="B1265" s="1" t="s">
        <v>503</v>
      </c>
    </row>
    <row r="1266" spans="1:16">
      <c r="A1266" t="s">
        <v>13</v>
      </c>
      <c r="B1266" t="s">
        <v>328</v>
      </c>
    </row>
    <row r="1267" spans="1:16">
      <c r="A1267" t="s">
        <v>1</v>
      </c>
      <c r="B1267" t="s">
        <v>20</v>
      </c>
    </row>
    <row r="1268" spans="1:16">
      <c r="A1268" t="s">
        <v>2</v>
      </c>
      <c r="B1268">
        <v>1</v>
      </c>
    </row>
    <row r="1269" spans="1:16">
      <c r="A1269" t="s">
        <v>3</v>
      </c>
      <c r="B1269" t="s">
        <v>503</v>
      </c>
    </row>
    <row r="1270" spans="1:16">
      <c r="A1270" t="s">
        <v>5</v>
      </c>
      <c r="B1270" t="s">
        <v>6</v>
      </c>
    </row>
    <row r="1271" spans="1:16">
      <c r="A1271" t="s">
        <v>7</v>
      </c>
      <c r="B1271" t="s">
        <v>38</v>
      </c>
    </row>
    <row r="1272" spans="1:16">
      <c r="A1272" s="1" t="s">
        <v>14</v>
      </c>
    </row>
    <row r="1273" spans="1:16">
      <c r="A1273" t="s">
        <v>15</v>
      </c>
      <c r="B1273" t="s">
        <v>16</v>
      </c>
      <c r="C1273" t="s">
        <v>17</v>
      </c>
      <c r="D1273" t="s">
        <v>1</v>
      </c>
      <c r="E1273" t="s">
        <v>7</v>
      </c>
      <c r="F1273" t="s">
        <v>18</v>
      </c>
      <c r="G1273" t="s">
        <v>5</v>
      </c>
      <c r="H1273" t="s">
        <v>203</v>
      </c>
      <c r="I1273" t="s">
        <v>204</v>
      </c>
      <c r="J1273" t="s">
        <v>205</v>
      </c>
      <c r="K1273" t="s">
        <v>206</v>
      </c>
      <c r="L1273" t="s">
        <v>13</v>
      </c>
      <c r="M1273" t="s">
        <v>207</v>
      </c>
      <c r="N1273" t="s">
        <v>208</v>
      </c>
      <c r="O1273" t="s">
        <v>3</v>
      </c>
      <c r="P1273" t="s">
        <v>209</v>
      </c>
    </row>
    <row r="1274" spans="1:16">
      <c r="A1274" t="s">
        <v>504</v>
      </c>
      <c r="B1274">
        <v>1.1000000000000001E-3</v>
      </c>
      <c r="C1274" t="s">
        <v>172</v>
      </c>
      <c r="E1274" t="s">
        <v>38</v>
      </c>
      <c r="F1274" t="s">
        <v>217</v>
      </c>
      <c r="G1274" t="s">
        <v>126</v>
      </c>
      <c r="H1274">
        <v>2</v>
      </c>
      <c r="I1274">
        <v>-6.812445099177812</v>
      </c>
      <c r="J1274">
        <v>4.7655089902162509E-2</v>
      </c>
      <c r="L1274" t="s">
        <v>505</v>
      </c>
      <c r="M1274">
        <v>0</v>
      </c>
    </row>
    <row r="1275" spans="1:16">
      <c r="A1275" t="s">
        <v>506</v>
      </c>
      <c r="B1275">
        <v>3.8E-6</v>
      </c>
      <c r="C1275" t="s">
        <v>172</v>
      </c>
      <c r="E1275" t="s">
        <v>38</v>
      </c>
      <c r="F1275" t="s">
        <v>217</v>
      </c>
      <c r="G1275" t="s">
        <v>126</v>
      </c>
      <c r="H1275">
        <v>2</v>
      </c>
      <c r="I1275">
        <v>-12.480509491231929</v>
      </c>
      <c r="J1275">
        <v>4.7655089902162509E-2</v>
      </c>
      <c r="L1275" t="s">
        <v>505</v>
      </c>
      <c r="M1275">
        <v>0</v>
      </c>
    </row>
    <row r="1276" spans="1:16">
      <c r="A1276" t="s">
        <v>507</v>
      </c>
      <c r="B1276">
        <v>1.3E-6</v>
      </c>
      <c r="C1276" t="s">
        <v>172</v>
      </c>
      <c r="E1276" t="s">
        <v>38</v>
      </c>
      <c r="F1276" t="s">
        <v>217</v>
      </c>
      <c r="G1276" t="s">
        <v>126</v>
      </c>
      <c r="H1276">
        <v>2</v>
      </c>
      <c r="I1276">
        <v>-13.553146293496781</v>
      </c>
      <c r="J1276">
        <v>4.7655089902162509E-2</v>
      </c>
      <c r="L1276" t="s">
        <v>505</v>
      </c>
      <c r="M1276">
        <v>0</v>
      </c>
    </row>
    <row r="1277" spans="1:16">
      <c r="A1277" t="s">
        <v>508</v>
      </c>
      <c r="B1277">
        <v>1.2999999999999999E-5</v>
      </c>
      <c r="C1277" t="s">
        <v>172</v>
      </c>
      <c r="E1277" t="s">
        <v>38</v>
      </c>
      <c r="F1277" t="s">
        <v>212</v>
      </c>
      <c r="G1277" t="s">
        <v>126</v>
      </c>
      <c r="H1277">
        <v>2</v>
      </c>
      <c r="I1277">
        <v>-11.250561200502739</v>
      </c>
      <c r="J1277">
        <v>0.13118213223374561</v>
      </c>
      <c r="L1277" t="s">
        <v>509</v>
      </c>
      <c r="M1277">
        <v>0</v>
      </c>
    </row>
    <row r="1278" spans="1:16">
      <c r="A1278" t="s">
        <v>510</v>
      </c>
      <c r="B1278">
        <v>1.2999999999999999E-3</v>
      </c>
      <c r="C1278" t="s">
        <v>172</v>
      </c>
      <c r="E1278" t="s">
        <v>38</v>
      </c>
      <c r="F1278" t="s">
        <v>212</v>
      </c>
      <c r="G1278" t="s">
        <v>126</v>
      </c>
      <c r="H1278">
        <v>2</v>
      </c>
      <c r="I1278">
        <v>-6.6453910145146464</v>
      </c>
      <c r="J1278">
        <v>4.7655089902162509E-2</v>
      </c>
      <c r="L1278" t="s">
        <v>505</v>
      </c>
      <c r="M1278">
        <v>0</v>
      </c>
    </row>
    <row r="1279" spans="1:16">
      <c r="A1279" t="s">
        <v>415</v>
      </c>
      <c r="B1279">
        <v>1.1E-4</v>
      </c>
      <c r="C1279" t="s">
        <v>172</v>
      </c>
      <c r="E1279" t="s">
        <v>38</v>
      </c>
      <c r="F1279" t="s">
        <v>217</v>
      </c>
      <c r="G1279" t="s">
        <v>126</v>
      </c>
      <c r="H1279">
        <v>2</v>
      </c>
      <c r="I1279">
        <v>-9.1150301921718579</v>
      </c>
      <c r="J1279">
        <v>4.7655089902162509E-2</v>
      </c>
      <c r="L1279" t="s">
        <v>505</v>
      </c>
      <c r="M1279">
        <v>0</v>
      </c>
    </row>
    <row r="1280" spans="1:16">
      <c r="A1280" t="s">
        <v>214</v>
      </c>
      <c r="B1280">
        <v>126</v>
      </c>
      <c r="C1280" t="s">
        <v>172</v>
      </c>
      <c r="E1280" t="s">
        <v>33</v>
      </c>
      <c r="F1280" t="s">
        <v>212</v>
      </c>
      <c r="G1280" t="s">
        <v>126</v>
      </c>
      <c r="H1280">
        <v>2</v>
      </c>
      <c r="I1280">
        <v>4.836281906951478</v>
      </c>
      <c r="J1280">
        <v>4.7655089902162509E-2</v>
      </c>
      <c r="L1280" t="s">
        <v>511</v>
      </c>
      <c r="M1280">
        <v>0</v>
      </c>
    </row>
    <row r="1281" spans="1:16">
      <c r="A1281" t="s">
        <v>512</v>
      </c>
      <c r="B1281">
        <v>6.0999999999999999E-5</v>
      </c>
      <c r="C1281" t="s">
        <v>172</v>
      </c>
      <c r="E1281" t="s">
        <v>38</v>
      </c>
      <c r="F1281" t="s">
        <v>217</v>
      </c>
      <c r="G1281" t="s">
        <v>126</v>
      </c>
      <c r="H1281">
        <v>2</v>
      </c>
      <c r="I1281">
        <v>-9.7046366937909632</v>
      </c>
      <c r="J1281">
        <v>4.7655089902162509E-2</v>
      </c>
      <c r="L1281" t="s">
        <v>505</v>
      </c>
      <c r="M1281">
        <v>0</v>
      </c>
    </row>
    <row r="1282" spans="1:16">
      <c r="A1282" t="s">
        <v>513</v>
      </c>
      <c r="B1282">
        <v>3.7E-8</v>
      </c>
      <c r="C1282" t="s">
        <v>172</v>
      </c>
      <c r="E1282" t="s">
        <v>38</v>
      </c>
      <c r="F1282" t="s">
        <v>212</v>
      </c>
      <c r="G1282" t="s">
        <v>126</v>
      </c>
      <c r="H1282">
        <v>2</v>
      </c>
      <c r="I1282">
        <v>-17.112347924302188</v>
      </c>
      <c r="J1282">
        <v>4.7655089902162509E-2</v>
      </c>
      <c r="L1282" t="s">
        <v>505</v>
      </c>
      <c r="M1282">
        <v>0</v>
      </c>
    </row>
    <row r="1283" spans="1:16">
      <c r="A1283" t="s">
        <v>514</v>
      </c>
      <c r="B1283">
        <v>2.5000000000000001E-3</v>
      </c>
      <c r="C1283" t="s">
        <v>172</v>
      </c>
      <c r="E1283" t="s">
        <v>38</v>
      </c>
      <c r="F1283" t="s">
        <v>217</v>
      </c>
      <c r="G1283" t="s">
        <v>126</v>
      </c>
      <c r="H1283">
        <v>2</v>
      </c>
      <c r="I1283">
        <v>-5.9914645471079817</v>
      </c>
      <c r="J1283">
        <v>4.7655089902162509E-2</v>
      </c>
      <c r="L1283" t="s">
        <v>505</v>
      </c>
      <c r="M1283">
        <v>0</v>
      </c>
    </row>
    <row r="1284" spans="1:16">
      <c r="A1284" t="s">
        <v>515</v>
      </c>
      <c r="B1284">
        <v>3.4000000000000002E-4</v>
      </c>
      <c r="C1284" t="s">
        <v>172</v>
      </c>
      <c r="E1284" t="s">
        <v>38</v>
      </c>
      <c r="F1284" t="s">
        <v>217</v>
      </c>
      <c r="G1284" t="s">
        <v>126</v>
      </c>
      <c r="H1284">
        <v>2</v>
      </c>
      <c r="I1284">
        <v>-7.9865649403540671</v>
      </c>
      <c r="J1284">
        <v>4.7655089902162509E-2</v>
      </c>
      <c r="L1284" t="s">
        <v>505</v>
      </c>
      <c r="M1284">
        <v>0</v>
      </c>
    </row>
    <row r="1285" spans="1:16">
      <c r="A1285" t="s">
        <v>516</v>
      </c>
      <c r="B1285">
        <v>2.2000000000000001E-6</v>
      </c>
      <c r="C1285" t="s">
        <v>172</v>
      </c>
      <c r="E1285" t="s">
        <v>211</v>
      </c>
      <c r="F1285" t="s">
        <v>212</v>
      </c>
      <c r="G1285" t="s">
        <v>126</v>
      </c>
      <c r="H1285">
        <v>2</v>
      </c>
      <c r="I1285">
        <v>-13.027053197600001</v>
      </c>
      <c r="J1285">
        <v>0.20273255405408211</v>
      </c>
      <c r="L1285" t="s">
        <v>517</v>
      </c>
      <c r="M1285">
        <v>0</v>
      </c>
    </row>
    <row r="1286" spans="1:16">
      <c r="A1286" t="s">
        <v>516</v>
      </c>
      <c r="B1286">
        <v>3.0999999999999999E-3</v>
      </c>
      <c r="C1286" t="s">
        <v>172</v>
      </c>
      <c r="E1286" t="s">
        <v>211</v>
      </c>
      <c r="F1286" t="s">
        <v>217</v>
      </c>
      <c r="G1286" t="s">
        <v>126</v>
      </c>
      <c r="H1286">
        <v>2</v>
      </c>
      <c r="I1286">
        <v>-5.7763531674910356</v>
      </c>
      <c r="J1286">
        <v>4.7655089902162509E-2</v>
      </c>
      <c r="L1286" t="s">
        <v>505</v>
      </c>
      <c r="M1286">
        <v>0</v>
      </c>
    </row>
    <row r="1287" spans="1:16">
      <c r="A1287" t="s">
        <v>499</v>
      </c>
      <c r="B1287">
        <v>3.1000000000000001E-5</v>
      </c>
      <c r="C1287" t="s">
        <v>172</v>
      </c>
      <c r="E1287" t="s">
        <v>211</v>
      </c>
      <c r="F1287" t="s">
        <v>212</v>
      </c>
      <c r="G1287" t="s">
        <v>126</v>
      </c>
      <c r="H1287">
        <v>2</v>
      </c>
      <c r="I1287">
        <v>-10.38152335347913</v>
      </c>
      <c r="J1287">
        <v>4.7655089902162509E-2</v>
      </c>
      <c r="L1287" t="s">
        <v>505</v>
      </c>
      <c r="M1287">
        <v>0</v>
      </c>
    </row>
    <row r="1288" spans="1:16">
      <c r="A1288" t="s">
        <v>499</v>
      </c>
      <c r="B1288">
        <v>8.1999999999999994E-6</v>
      </c>
      <c r="C1288" t="s">
        <v>172</v>
      </c>
      <c r="E1288" t="s">
        <v>211</v>
      </c>
      <c r="F1288" t="s">
        <v>217</v>
      </c>
      <c r="G1288" t="s">
        <v>126</v>
      </c>
      <c r="H1288">
        <v>2</v>
      </c>
      <c r="I1288">
        <v>-11.71137640369407</v>
      </c>
      <c r="J1288">
        <v>4.7655089902162509E-2</v>
      </c>
      <c r="L1288" t="s">
        <v>505</v>
      </c>
      <c r="M1288">
        <v>0</v>
      </c>
    </row>
    <row r="1289" spans="1:16">
      <c r="A1289" t="s">
        <v>518</v>
      </c>
      <c r="B1289">
        <v>3.8000000000000002E-5</v>
      </c>
      <c r="C1289" t="s">
        <v>172</v>
      </c>
      <c r="E1289" t="s">
        <v>38</v>
      </c>
      <c r="F1289" t="s">
        <v>217</v>
      </c>
      <c r="G1289" t="s">
        <v>126</v>
      </c>
      <c r="H1289">
        <v>2</v>
      </c>
      <c r="I1289">
        <v>-10.17792439823789</v>
      </c>
      <c r="J1289">
        <v>4.7655089902162509E-2</v>
      </c>
      <c r="L1289" t="s">
        <v>505</v>
      </c>
      <c r="M1289">
        <v>0</v>
      </c>
    </row>
    <row r="1290" spans="1:16">
      <c r="A1290" t="s">
        <v>503</v>
      </c>
      <c r="B1290">
        <v>1</v>
      </c>
      <c r="C1290" t="s">
        <v>1413</v>
      </c>
      <c r="D1290" t="s">
        <v>20</v>
      </c>
      <c r="E1290" t="s">
        <v>38</v>
      </c>
      <c r="F1290" t="s">
        <v>224</v>
      </c>
      <c r="G1290" t="s">
        <v>24</v>
      </c>
      <c r="K1290">
        <v>100</v>
      </c>
      <c r="L1290" t="s">
        <v>519</v>
      </c>
      <c r="O1290" t="s">
        <v>503</v>
      </c>
    </row>
    <row r="1291" spans="1:16">
      <c r="A1291" t="s">
        <v>236</v>
      </c>
      <c r="B1291">
        <v>2.5000000000000001E-5</v>
      </c>
      <c r="C1291" t="s">
        <v>171</v>
      </c>
      <c r="D1291" t="s">
        <v>20</v>
      </c>
      <c r="E1291" t="s">
        <v>38</v>
      </c>
      <c r="F1291" t="s">
        <v>227</v>
      </c>
      <c r="G1291" t="s">
        <v>26</v>
      </c>
      <c r="H1291">
        <v>2</v>
      </c>
      <c r="I1291">
        <v>-10.596634733096071</v>
      </c>
      <c r="J1291">
        <v>4.7655089902162509E-2</v>
      </c>
      <c r="L1291" t="s">
        <v>505</v>
      </c>
      <c r="M1291">
        <v>0</v>
      </c>
      <c r="N1291" t="s">
        <v>237</v>
      </c>
      <c r="O1291" t="s">
        <v>237</v>
      </c>
      <c r="P1291" t="s">
        <v>238</v>
      </c>
    </row>
    <row r="1292" spans="1:16">
      <c r="A1292" t="s">
        <v>41</v>
      </c>
      <c r="B1292">
        <v>0.05</v>
      </c>
      <c r="C1292" t="s">
        <v>171</v>
      </c>
      <c r="D1292" t="s">
        <v>42</v>
      </c>
      <c r="E1292" t="s">
        <v>38</v>
      </c>
      <c r="F1292" t="s">
        <v>227</v>
      </c>
      <c r="G1292" t="s">
        <v>26</v>
      </c>
      <c r="H1292">
        <v>2</v>
      </c>
      <c r="I1292">
        <v>-2.9957322735539909</v>
      </c>
      <c r="J1292">
        <v>0.3465735902799727</v>
      </c>
      <c r="L1292" t="s">
        <v>223</v>
      </c>
      <c r="M1292">
        <v>0</v>
      </c>
      <c r="N1292" t="s">
        <v>43</v>
      </c>
      <c r="O1292" t="s">
        <v>43</v>
      </c>
      <c r="P1292" t="s">
        <v>386</v>
      </c>
    </row>
    <row r="1293" spans="1:16">
      <c r="A1293" t="s">
        <v>242</v>
      </c>
      <c r="B1293">
        <v>1.8E-3</v>
      </c>
      <c r="C1293" t="s">
        <v>171</v>
      </c>
      <c r="D1293" t="s">
        <v>20</v>
      </c>
      <c r="E1293" t="s">
        <v>38</v>
      </c>
      <c r="F1293" t="s">
        <v>227</v>
      </c>
      <c r="G1293" t="s">
        <v>26</v>
      </c>
      <c r="H1293">
        <v>2</v>
      </c>
      <c r="I1293">
        <v>-6.3199686140800182</v>
      </c>
      <c r="J1293">
        <v>4.7655089902162509E-2</v>
      </c>
      <c r="L1293" t="s">
        <v>505</v>
      </c>
      <c r="M1293">
        <v>0</v>
      </c>
      <c r="N1293" t="s">
        <v>244</v>
      </c>
      <c r="O1293" t="s">
        <v>244</v>
      </c>
      <c r="P1293" t="s">
        <v>245</v>
      </c>
    </row>
    <row r="1294" spans="1:16">
      <c r="A1294" t="s">
        <v>246</v>
      </c>
      <c r="B1294">
        <v>2.3999999999999998E-3</v>
      </c>
      <c r="C1294" t="s">
        <v>171</v>
      </c>
      <c r="D1294" t="s">
        <v>155</v>
      </c>
      <c r="E1294" t="s">
        <v>38</v>
      </c>
      <c r="F1294" t="s">
        <v>247</v>
      </c>
      <c r="G1294" t="s">
        <v>26</v>
      </c>
      <c r="H1294">
        <v>2</v>
      </c>
      <c r="I1294">
        <v>-6.0322865416282374</v>
      </c>
      <c r="J1294">
        <v>4.7655089902162509E-2</v>
      </c>
      <c r="L1294" t="s">
        <v>505</v>
      </c>
      <c r="M1294">
        <v>0</v>
      </c>
      <c r="N1294" t="s">
        <v>248</v>
      </c>
      <c r="O1294" t="s">
        <v>248</v>
      </c>
      <c r="P1294" t="s">
        <v>249</v>
      </c>
    </row>
    <row r="1295" spans="1:16">
      <c r="A1295" t="s">
        <v>52</v>
      </c>
      <c r="B1295">
        <v>1.8E-3</v>
      </c>
      <c r="C1295" t="s">
        <v>171</v>
      </c>
      <c r="D1295" t="s">
        <v>155</v>
      </c>
      <c r="E1295" t="s">
        <v>38</v>
      </c>
      <c r="F1295" t="s">
        <v>227</v>
      </c>
      <c r="G1295" t="s">
        <v>26</v>
      </c>
      <c r="H1295">
        <v>2</v>
      </c>
      <c r="I1295">
        <v>-6.3199686140800182</v>
      </c>
      <c r="J1295">
        <v>0.3465735902799727</v>
      </c>
      <c r="L1295" t="s">
        <v>298</v>
      </c>
      <c r="M1295">
        <v>0</v>
      </c>
      <c r="N1295" t="s">
        <v>50</v>
      </c>
      <c r="O1295" t="s">
        <v>50</v>
      </c>
      <c r="P1295" t="s">
        <v>520</v>
      </c>
    </row>
    <row r="1296" spans="1:16">
      <c r="A1296" t="s">
        <v>262</v>
      </c>
      <c r="B1296">
        <v>3.1099999999999999E-2</v>
      </c>
      <c r="C1296" t="s">
        <v>171</v>
      </c>
      <c r="D1296" t="s">
        <v>34</v>
      </c>
      <c r="E1296" t="s">
        <v>38</v>
      </c>
      <c r="F1296" t="s">
        <v>227</v>
      </c>
      <c r="G1296" t="s">
        <v>26</v>
      </c>
      <c r="H1296">
        <v>2</v>
      </c>
      <c r="I1296">
        <v>-3.4705474597969488</v>
      </c>
      <c r="J1296">
        <v>4.7655089902162509E-2</v>
      </c>
      <c r="L1296" t="s">
        <v>505</v>
      </c>
      <c r="M1296">
        <v>0</v>
      </c>
      <c r="N1296" t="s">
        <v>263</v>
      </c>
      <c r="O1296" t="s">
        <v>263</v>
      </c>
      <c r="P1296" t="s">
        <v>264</v>
      </c>
    </row>
    <row r="1297" spans="1:16">
      <c r="A1297" t="s">
        <v>183</v>
      </c>
      <c r="B1297">
        <v>8.1999999999999998E-4</v>
      </c>
      <c r="C1297" t="s">
        <v>171</v>
      </c>
      <c r="D1297" t="s">
        <v>34</v>
      </c>
      <c r="E1297" t="s">
        <v>38</v>
      </c>
      <c r="F1297" t="s">
        <v>227</v>
      </c>
      <c r="G1297" t="s">
        <v>26</v>
      </c>
      <c r="H1297">
        <v>2</v>
      </c>
      <c r="I1297">
        <v>-7.1062062177059753</v>
      </c>
      <c r="J1297">
        <v>4.7655089902162509E-2</v>
      </c>
      <c r="L1297" t="s">
        <v>505</v>
      </c>
      <c r="M1297">
        <v>0</v>
      </c>
      <c r="N1297" t="s">
        <v>184</v>
      </c>
      <c r="O1297" t="s">
        <v>184</v>
      </c>
      <c r="P1297" t="s">
        <v>265</v>
      </c>
    </row>
    <row r="1298" spans="1:16">
      <c r="A1298" t="s">
        <v>1004</v>
      </c>
      <c r="B1298">
        <v>2.9E-4</v>
      </c>
      <c r="C1298" t="s">
        <v>171</v>
      </c>
      <c r="D1298" t="s">
        <v>155</v>
      </c>
      <c r="E1298" t="s">
        <v>119</v>
      </c>
      <c r="F1298" t="s">
        <v>227</v>
      </c>
      <c r="G1298" t="s">
        <v>26</v>
      </c>
      <c r="H1298">
        <v>2</v>
      </c>
      <c r="I1298">
        <v>-8.145629634983754</v>
      </c>
      <c r="J1298">
        <v>0.3465735902799727</v>
      </c>
      <c r="L1298" t="s">
        <v>223</v>
      </c>
      <c r="M1298">
        <v>0</v>
      </c>
      <c r="N1298" t="s">
        <v>1003</v>
      </c>
      <c r="O1298" t="s">
        <v>1003</v>
      </c>
      <c r="P1298" t="s">
        <v>266</v>
      </c>
    </row>
    <row r="1299" spans="1:16">
      <c r="A1299" t="s">
        <v>267</v>
      </c>
      <c r="B1299">
        <v>0.6</v>
      </c>
      <c r="C1299" t="s">
        <v>171</v>
      </c>
      <c r="D1299" t="s">
        <v>34</v>
      </c>
      <c r="E1299" t="s">
        <v>33</v>
      </c>
      <c r="F1299" t="s">
        <v>227</v>
      </c>
      <c r="G1299" t="s">
        <v>26</v>
      </c>
      <c r="H1299">
        <v>2</v>
      </c>
      <c r="I1299">
        <v>-0.51082562376599072</v>
      </c>
      <c r="J1299">
        <v>4.7655089902162509E-2</v>
      </c>
      <c r="L1299" t="s">
        <v>505</v>
      </c>
      <c r="M1299">
        <v>0</v>
      </c>
      <c r="N1299" t="s">
        <v>268</v>
      </c>
      <c r="O1299" t="s">
        <v>268</v>
      </c>
      <c r="P1299" t="s">
        <v>269</v>
      </c>
    </row>
    <row r="1300" spans="1:16">
      <c r="A1300" t="s">
        <v>521</v>
      </c>
      <c r="B1300">
        <v>2.0000000000000001E-4</v>
      </c>
      <c r="C1300" t="s">
        <v>171</v>
      </c>
      <c r="D1300" t="s">
        <v>20</v>
      </c>
      <c r="E1300" t="s">
        <v>38</v>
      </c>
      <c r="F1300" t="s">
        <v>227</v>
      </c>
      <c r="G1300" t="s">
        <v>26</v>
      </c>
      <c r="H1300">
        <v>2</v>
      </c>
      <c r="I1300">
        <v>-8.5171931914162382</v>
      </c>
      <c r="J1300">
        <v>4.7655089902162509E-2</v>
      </c>
      <c r="L1300" t="s">
        <v>505</v>
      </c>
      <c r="M1300">
        <v>0</v>
      </c>
      <c r="N1300" t="s">
        <v>522</v>
      </c>
      <c r="O1300" t="s">
        <v>522</v>
      </c>
      <c r="P1300" t="s">
        <v>523</v>
      </c>
    </row>
    <row r="1301" spans="1:16">
      <c r="A1301" t="s">
        <v>524</v>
      </c>
      <c r="B1301">
        <v>6.8000000000000005E-4</v>
      </c>
      <c r="C1301" t="s">
        <v>171</v>
      </c>
      <c r="D1301" t="s">
        <v>20</v>
      </c>
      <c r="E1301" t="s">
        <v>38</v>
      </c>
      <c r="F1301" t="s">
        <v>227</v>
      </c>
      <c r="G1301" t="s">
        <v>26</v>
      </c>
      <c r="H1301">
        <v>2</v>
      </c>
      <c r="I1301">
        <v>-7.2934177597941217</v>
      </c>
      <c r="J1301">
        <v>4.7655089902162509E-2</v>
      </c>
      <c r="L1301" t="s">
        <v>505</v>
      </c>
      <c r="M1301">
        <v>0</v>
      </c>
      <c r="N1301" t="s">
        <v>525</v>
      </c>
      <c r="O1301" t="s">
        <v>525</v>
      </c>
      <c r="P1301" t="s">
        <v>526</v>
      </c>
    </row>
    <row r="1302" spans="1:16">
      <c r="A1302" t="s">
        <v>1255</v>
      </c>
      <c r="B1302">
        <v>1.1E-5</v>
      </c>
      <c r="C1302" t="s">
        <v>171</v>
      </c>
      <c r="D1302" t="s">
        <v>20</v>
      </c>
      <c r="E1302" t="s">
        <v>38</v>
      </c>
      <c r="F1302" t="s">
        <v>227</v>
      </c>
      <c r="G1302" t="s">
        <v>26</v>
      </c>
      <c r="H1302">
        <v>2</v>
      </c>
      <c r="I1302">
        <v>-11.417615285165899</v>
      </c>
      <c r="J1302">
        <v>4.7655089902162509E-2</v>
      </c>
      <c r="L1302" t="s">
        <v>505</v>
      </c>
      <c r="M1302">
        <v>0</v>
      </c>
      <c r="N1302" t="s">
        <v>273</v>
      </c>
      <c r="O1302" t="s">
        <v>1256</v>
      </c>
      <c r="P1302" t="s">
        <v>274</v>
      </c>
    </row>
    <row r="1303" spans="1:16">
      <c r="A1303" t="s">
        <v>440</v>
      </c>
      <c r="B1303">
        <v>-3.0000000000000001E-6</v>
      </c>
      <c r="C1303" t="s">
        <v>171</v>
      </c>
      <c r="D1303" t="s">
        <v>34</v>
      </c>
      <c r="E1303" t="s">
        <v>119</v>
      </c>
      <c r="F1303" t="s">
        <v>247</v>
      </c>
      <c r="G1303" t="s">
        <v>26</v>
      </c>
      <c r="H1303">
        <v>2</v>
      </c>
      <c r="I1303">
        <v>-12.716898269296159</v>
      </c>
      <c r="J1303">
        <v>4.7655089902162509E-2</v>
      </c>
      <c r="L1303" t="s">
        <v>505</v>
      </c>
      <c r="M1303">
        <v>0</v>
      </c>
      <c r="N1303" t="s">
        <v>314</v>
      </c>
      <c r="O1303" t="s">
        <v>314</v>
      </c>
      <c r="P1303" t="s">
        <v>441</v>
      </c>
    </row>
    <row r="1304" spans="1:16">
      <c r="A1304" t="s">
        <v>275</v>
      </c>
      <c r="B1304">
        <v>9.1999999999999998E-3</v>
      </c>
      <c r="C1304" t="s">
        <v>171</v>
      </c>
      <c r="D1304" t="s">
        <v>20</v>
      </c>
      <c r="E1304" t="s">
        <v>38</v>
      </c>
      <c r="F1304" t="s">
        <v>227</v>
      </c>
      <c r="G1304" t="s">
        <v>26</v>
      </c>
      <c r="H1304">
        <v>2</v>
      </c>
      <c r="I1304">
        <v>-4.6885517949271422</v>
      </c>
      <c r="J1304">
        <v>4.7655089902162509E-2</v>
      </c>
      <c r="L1304" t="s">
        <v>505</v>
      </c>
      <c r="M1304">
        <v>0</v>
      </c>
      <c r="N1304" t="s">
        <v>276</v>
      </c>
      <c r="O1304" t="s">
        <v>276</v>
      </c>
      <c r="P1304" t="s">
        <v>277</v>
      </c>
    </row>
    <row r="1305" spans="1:16">
      <c r="A1305" t="s">
        <v>527</v>
      </c>
      <c r="B1305">
        <v>3.2000000000000003E-4</v>
      </c>
      <c r="C1305" t="s">
        <v>171</v>
      </c>
      <c r="D1305" t="s">
        <v>20</v>
      </c>
      <c r="E1305" t="s">
        <v>38</v>
      </c>
      <c r="F1305" t="s">
        <v>227</v>
      </c>
      <c r="G1305" t="s">
        <v>26</v>
      </c>
      <c r="H1305">
        <v>2</v>
      </c>
      <c r="I1305">
        <v>-8.0471895621705016</v>
      </c>
      <c r="J1305">
        <v>4.7655089902162509E-2</v>
      </c>
      <c r="L1305" t="s">
        <v>505</v>
      </c>
      <c r="M1305">
        <v>0</v>
      </c>
      <c r="N1305" t="s">
        <v>528</v>
      </c>
      <c r="O1305" t="s">
        <v>528</v>
      </c>
      <c r="P1305" t="s">
        <v>529</v>
      </c>
    </row>
    <row r="1306" spans="1:16">
      <c r="A1306" t="s">
        <v>530</v>
      </c>
      <c r="B1306">
        <v>-0.23499999999999999</v>
      </c>
      <c r="C1306" t="s">
        <v>171</v>
      </c>
      <c r="D1306" t="s">
        <v>155</v>
      </c>
      <c r="E1306" t="s">
        <v>38</v>
      </c>
      <c r="F1306" t="s">
        <v>247</v>
      </c>
      <c r="G1306" t="s">
        <v>26</v>
      </c>
      <c r="H1306">
        <v>2</v>
      </c>
      <c r="I1306">
        <v>-1.4481697648379781</v>
      </c>
      <c r="J1306">
        <v>4.7655089902162509E-2</v>
      </c>
      <c r="L1306" t="s">
        <v>505</v>
      </c>
      <c r="M1306">
        <v>0</v>
      </c>
      <c r="N1306" t="s">
        <v>531</v>
      </c>
      <c r="O1306" t="s">
        <v>531</v>
      </c>
      <c r="P1306" t="s">
        <v>532</v>
      </c>
    </row>
    <row r="1307" spans="1:16">
      <c r="A1307" t="s">
        <v>533</v>
      </c>
      <c r="B1307">
        <v>1.5E-3</v>
      </c>
      <c r="C1307" t="s">
        <v>171</v>
      </c>
      <c r="D1307" t="s">
        <v>534</v>
      </c>
      <c r="E1307" t="s">
        <v>38</v>
      </c>
      <c r="F1307" t="s">
        <v>227</v>
      </c>
      <c r="G1307" t="s">
        <v>26</v>
      </c>
      <c r="H1307">
        <v>2</v>
      </c>
      <c r="I1307">
        <v>-6.5022901708739722</v>
      </c>
      <c r="J1307">
        <v>4.7655089902162509E-2</v>
      </c>
      <c r="L1307" t="s">
        <v>505</v>
      </c>
      <c r="M1307">
        <v>0</v>
      </c>
      <c r="N1307" t="s">
        <v>535</v>
      </c>
      <c r="O1307" t="s">
        <v>535</v>
      </c>
      <c r="P1307" t="s">
        <v>536</v>
      </c>
    </row>
    <row r="1308" spans="1:16">
      <c r="A1308" t="s">
        <v>281</v>
      </c>
      <c r="B1308">
        <v>3.8999999999999999E-4</v>
      </c>
      <c r="C1308" t="s">
        <v>171</v>
      </c>
      <c r="D1308" t="s">
        <v>20</v>
      </c>
      <c r="E1308" t="s">
        <v>38</v>
      </c>
      <c r="F1308" t="s">
        <v>227</v>
      </c>
      <c r="G1308" t="s">
        <v>26</v>
      </c>
      <c r="H1308">
        <v>2</v>
      </c>
      <c r="I1308">
        <v>-7.8493638188405823</v>
      </c>
      <c r="J1308">
        <v>4.7655089902162509E-2</v>
      </c>
      <c r="L1308" t="s">
        <v>505</v>
      </c>
      <c r="M1308">
        <v>0</v>
      </c>
      <c r="N1308" t="s">
        <v>282</v>
      </c>
      <c r="O1308" t="s">
        <v>282</v>
      </c>
      <c r="P1308" t="s">
        <v>283</v>
      </c>
    </row>
    <row r="1309" spans="1:16">
      <c r="A1309" t="s">
        <v>287</v>
      </c>
      <c r="B1309">
        <v>3.6000000000000001E-5</v>
      </c>
      <c r="C1309" t="s">
        <v>171</v>
      </c>
      <c r="D1309" t="s">
        <v>20</v>
      </c>
      <c r="E1309" t="s">
        <v>38</v>
      </c>
      <c r="F1309" t="s">
        <v>227</v>
      </c>
      <c r="G1309" t="s">
        <v>26</v>
      </c>
      <c r="H1309">
        <v>2</v>
      </c>
      <c r="I1309">
        <v>-10.231991619508159</v>
      </c>
      <c r="J1309">
        <v>4.7655089902162509E-2</v>
      </c>
      <c r="L1309" t="s">
        <v>505</v>
      </c>
      <c r="M1309">
        <v>0</v>
      </c>
      <c r="N1309" t="s">
        <v>288</v>
      </c>
      <c r="O1309" t="s">
        <v>288</v>
      </c>
      <c r="P1309" t="s">
        <v>289</v>
      </c>
    </row>
    <row r="1310" spans="1:16">
      <c r="A1310" t="s">
        <v>537</v>
      </c>
      <c r="B1310">
        <v>1.2E-4</v>
      </c>
      <c r="C1310" t="s">
        <v>171</v>
      </c>
      <c r="D1310" t="s">
        <v>20</v>
      </c>
      <c r="E1310" t="s">
        <v>38</v>
      </c>
      <c r="F1310" t="s">
        <v>227</v>
      </c>
      <c r="G1310" t="s">
        <v>26</v>
      </c>
      <c r="H1310">
        <v>2</v>
      </c>
      <c r="I1310">
        <v>-9.0280188151822287</v>
      </c>
      <c r="J1310">
        <v>4.7655089902162509E-2</v>
      </c>
      <c r="L1310" t="s">
        <v>505</v>
      </c>
      <c r="M1310">
        <v>0</v>
      </c>
      <c r="N1310" t="s">
        <v>538</v>
      </c>
      <c r="O1310" t="s">
        <v>538</v>
      </c>
      <c r="P1310" t="s">
        <v>539</v>
      </c>
    </row>
    <row r="1311" spans="1:16">
      <c r="A1311" t="s">
        <v>1302</v>
      </c>
      <c r="B1311">
        <v>8.7000000000000001E-4</v>
      </c>
      <c r="C1311" t="s">
        <v>171</v>
      </c>
      <c r="D1311" t="s">
        <v>20</v>
      </c>
      <c r="E1311" t="s">
        <v>38</v>
      </c>
      <c r="F1311" t="s">
        <v>227</v>
      </c>
      <c r="G1311" t="s">
        <v>26</v>
      </c>
      <c r="H1311">
        <v>2</v>
      </c>
      <c r="I1311">
        <v>-7.0470173463156449</v>
      </c>
      <c r="J1311">
        <v>4.7655089902162509E-2</v>
      </c>
      <c r="L1311" t="s">
        <v>505</v>
      </c>
      <c r="M1311">
        <v>0</v>
      </c>
      <c r="N1311" t="s">
        <v>1303</v>
      </c>
      <c r="O1311" t="s">
        <v>1303</v>
      </c>
      <c r="P1311" t="s">
        <v>1304</v>
      </c>
    </row>
    <row r="1312" spans="1:16">
      <c r="A1312" t="s">
        <v>540</v>
      </c>
      <c r="B1312">
        <v>8.8000000000000003E-4</v>
      </c>
      <c r="C1312" t="s">
        <v>171</v>
      </c>
      <c r="D1312" t="s">
        <v>34</v>
      </c>
      <c r="E1312" t="s">
        <v>38</v>
      </c>
      <c r="F1312" t="s">
        <v>227</v>
      </c>
      <c r="G1312" t="s">
        <v>26</v>
      </c>
      <c r="H1312">
        <v>2</v>
      </c>
      <c r="I1312">
        <v>-7.0355886504920218</v>
      </c>
      <c r="J1312">
        <v>4.7655089902162509E-2</v>
      </c>
      <c r="L1312" t="s">
        <v>505</v>
      </c>
      <c r="M1312">
        <v>0</v>
      </c>
      <c r="N1312" t="s">
        <v>541</v>
      </c>
      <c r="O1312" t="s">
        <v>541</v>
      </c>
      <c r="P1312" t="s">
        <v>542</v>
      </c>
    </row>
    <row r="1313" spans="1:16">
      <c r="A1313" t="s">
        <v>543</v>
      </c>
      <c r="B1313">
        <v>2.8E-3</v>
      </c>
      <c r="C1313" t="s">
        <v>171</v>
      </c>
      <c r="D1313" t="s">
        <v>20</v>
      </c>
      <c r="E1313" t="s">
        <v>38</v>
      </c>
      <c r="F1313" t="s">
        <v>227</v>
      </c>
      <c r="G1313" t="s">
        <v>26</v>
      </c>
      <c r="H1313">
        <v>2</v>
      </c>
      <c r="I1313">
        <v>-5.8781358618009776</v>
      </c>
      <c r="J1313">
        <v>4.7655089902162509E-2</v>
      </c>
      <c r="L1313" t="s">
        <v>505</v>
      </c>
      <c r="M1313">
        <v>0</v>
      </c>
      <c r="N1313" t="s">
        <v>544</v>
      </c>
      <c r="O1313" t="s">
        <v>544</v>
      </c>
      <c r="P1313" t="s">
        <v>545</v>
      </c>
    </row>
    <row r="1314" spans="1:16">
      <c r="A1314" t="s">
        <v>546</v>
      </c>
      <c r="B1314">
        <v>5.8000000000000003E-2</v>
      </c>
      <c r="C1314" t="s">
        <v>171</v>
      </c>
      <c r="D1314" t="s">
        <v>155</v>
      </c>
      <c r="E1314" t="s">
        <v>38</v>
      </c>
      <c r="F1314" t="s">
        <v>247</v>
      </c>
      <c r="G1314" t="s">
        <v>26</v>
      </c>
      <c r="H1314">
        <v>2</v>
      </c>
      <c r="I1314">
        <v>-2.8473122684357182</v>
      </c>
      <c r="J1314">
        <v>4.7655089902162509E-2</v>
      </c>
      <c r="L1314" t="s">
        <v>505</v>
      </c>
      <c r="M1314">
        <v>0</v>
      </c>
      <c r="N1314" t="s">
        <v>547</v>
      </c>
      <c r="O1314" t="s">
        <v>547</v>
      </c>
      <c r="P1314" t="s">
        <v>548</v>
      </c>
    </row>
    <row r="1315" spans="1:16">
      <c r="A1315" t="s">
        <v>39</v>
      </c>
      <c r="B1315">
        <v>0.15</v>
      </c>
      <c r="C1315" t="s">
        <v>171</v>
      </c>
      <c r="D1315" t="s">
        <v>34</v>
      </c>
      <c r="E1315" t="s">
        <v>38</v>
      </c>
      <c r="F1315" t="s">
        <v>227</v>
      </c>
      <c r="G1315" t="s">
        <v>26</v>
      </c>
      <c r="H1315">
        <v>2</v>
      </c>
      <c r="I1315">
        <v>-1.8971199848858811</v>
      </c>
      <c r="J1315">
        <v>0.20273255405408211</v>
      </c>
      <c r="L1315" t="s">
        <v>223</v>
      </c>
      <c r="M1315">
        <v>0</v>
      </c>
      <c r="N1315" t="s">
        <v>40</v>
      </c>
      <c r="O1315" t="s">
        <v>40</v>
      </c>
      <c r="P1315" t="s">
        <v>299</v>
      </c>
    </row>
    <row r="1316" spans="1:16">
      <c r="A1316" t="s">
        <v>1253</v>
      </c>
      <c r="B1316">
        <v>6.6799999999999998E-2</v>
      </c>
      <c r="C1316" t="s">
        <v>171</v>
      </c>
      <c r="D1316" t="s">
        <v>169</v>
      </c>
      <c r="E1316" t="s">
        <v>35</v>
      </c>
      <c r="F1316" t="s">
        <v>227</v>
      </c>
      <c r="G1316" t="s">
        <v>26</v>
      </c>
      <c r="H1316">
        <v>2</v>
      </c>
      <c r="I1316">
        <v>-2.7060521984395369</v>
      </c>
      <c r="J1316">
        <v>0.37096867236468872</v>
      </c>
      <c r="L1316" t="s">
        <v>301</v>
      </c>
      <c r="M1316">
        <v>0</v>
      </c>
      <c r="N1316" t="s">
        <v>1254</v>
      </c>
      <c r="O1316" t="s">
        <v>1254</v>
      </c>
      <c r="P1316" t="s">
        <v>332</v>
      </c>
    </row>
    <row r="1317" spans="1:16">
      <c r="A1317" t="s">
        <v>300</v>
      </c>
      <c r="B1317">
        <v>0.89300000000000002</v>
      </c>
      <c r="C1317" t="s">
        <v>171</v>
      </c>
      <c r="D1317" t="s">
        <v>20</v>
      </c>
      <c r="E1317" t="s">
        <v>35</v>
      </c>
      <c r="F1317" t="s">
        <v>227</v>
      </c>
      <c r="G1317" t="s">
        <v>26</v>
      </c>
      <c r="H1317">
        <v>2</v>
      </c>
      <c r="I1317">
        <v>-0.113168698105638</v>
      </c>
      <c r="J1317">
        <v>0.37096867236468872</v>
      </c>
      <c r="L1317" t="s">
        <v>301</v>
      </c>
      <c r="M1317">
        <v>0</v>
      </c>
      <c r="N1317" t="s">
        <v>1260</v>
      </c>
      <c r="O1317" t="s">
        <v>1260</v>
      </c>
      <c r="P1317" t="s">
        <v>303</v>
      </c>
    </row>
    <row r="1318" spans="1:16">
      <c r="A1318" t="s">
        <v>549</v>
      </c>
      <c r="B1318">
        <v>2.22E-8</v>
      </c>
      <c r="C1318" t="s">
        <v>171</v>
      </c>
      <c r="D1318" t="s">
        <v>34</v>
      </c>
      <c r="E1318" t="s">
        <v>7</v>
      </c>
      <c r="F1318" t="s">
        <v>227</v>
      </c>
      <c r="G1318" t="s">
        <v>26</v>
      </c>
      <c r="H1318">
        <v>2</v>
      </c>
      <c r="I1318">
        <v>-17.623173548068181</v>
      </c>
      <c r="J1318">
        <v>0.20273255405408211</v>
      </c>
      <c r="L1318" t="s">
        <v>223</v>
      </c>
      <c r="M1318">
        <v>0</v>
      </c>
      <c r="N1318" t="s">
        <v>550</v>
      </c>
      <c r="O1318" t="s">
        <v>550</v>
      </c>
      <c r="P1318" t="s">
        <v>551</v>
      </c>
    </row>
    <row r="1319" spans="1:16">
      <c r="A1319" t="s">
        <v>552</v>
      </c>
      <c r="B1319">
        <v>1.38</v>
      </c>
      <c r="C1319" t="s">
        <v>171</v>
      </c>
      <c r="D1319" t="s">
        <v>51</v>
      </c>
      <c r="E1319" t="s">
        <v>38</v>
      </c>
      <c r="F1319" t="s">
        <v>227</v>
      </c>
      <c r="G1319" t="s">
        <v>26</v>
      </c>
      <c r="H1319">
        <v>2</v>
      </c>
      <c r="I1319">
        <v>0.32208349916911322</v>
      </c>
      <c r="J1319">
        <v>0</v>
      </c>
      <c r="L1319" t="s">
        <v>502</v>
      </c>
      <c r="M1319">
        <v>0</v>
      </c>
      <c r="N1319" t="s">
        <v>553</v>
      </c>
      <c r="O1319" t="s">
        <v>553</v>
      </c>
      <c r="P1319" t="s">
        <v>554</v>
      </c>
    </row>
    <row r="1320" spans="1:16">
      <c r="A1320" t="s">
        <v>304</v>
      </c>
      <c r="B1320">
        <v>2</v>
      </c>
      <c r="C1320" t="s">
        <v>171</v>
      </c>
      <c r="D1320" t="s">
        <v>155</v>
      </c>
      <c r="E1320" t="s">
        <v>38</v>
      </c>
      <c r="F1320" t="s">
        <v>227</v>
      </c>
      <c r="G1320" t="s">
        <v>26</v>
      </c>
      <c r="H1320">
        <v>2</v>
      </c>
      <c r="I1320">
        <v>0.69314718055994529</v>
      </c>
      <c r="J1320">
        <v>4.7655089902162509E-2</v>
      </c>
      <c r="L1320" t="s">
        <v>505</v>
      </c>
      <c r="M1320">
        <v>0</v>
      </c>
      <c r="N1320" t="s">
        <v>305</v>
      </c>
      <c r="O1320" t="s">
        <v>305</v>
      </c>
      <c r="P1320" t="s">
        <v>306</v>
      </c>
    </row>
    <row r="1321" spans="1:16">
      <c r="A1321" t="s">
        <v>368</v>
      </c>
      <c r="B1321">
        <v>35</v>
      </c>
      <c r="C1321" t="s">
        <v>171</v>
      </c>
      <c r="D1321" t="s">
        <v>369</v>
      </c>
      <c r="E1321" t="s">
        <v>8</v>
      </c>
      <c r="F1321" t="s">
        <v>227</v>
      </c>
      <c r="G1321" t="s">
        <v>26</v>
      </c>
      <c r="H1321">
        <v>2</v>
      </c>
      <c r="I1321">
        <v>3.555348061489414</v>
      </c>
      <c r="J1321">
        <v>0.1115717756571049</v>
      </c>
      <c r="L1321" t="s">
        <v>555</v>
      </c>
      <c r="M1321">
        <v>0</v>
      </c>
      <c r="N1321" t="s">
        <v>366</v>
      </c>
      <c r="O1321" t="s">
        <v>366</v>
      </c>
      <c r="P1321" t="s">
        <v>370</v>
      </c>
    </row>
    <row r="1322" spans="1:16">
      <c r="A1322" t="s">
        <v>495</v>
      </c>
      <c r="B1322">
        <v>8</v>
      </c>
      <c r="C1322" t="s">
        <v>171</v>
      </c>
      <c r="D1322" t="s">
        <v>155</v>
      </c>
      <c r="E1322" t="s">
        <v>33</v>
      </c>
      <c r="F1322" t="s">
        <v>227</v>
      </c>
      <c r="G1322" t="s">
        <v>26</v>
      </c>
      <c r="H1322">
        <v>2</v>
      </c>
      <c r="I1322">
        <v>2.0794415416798362</v>
      </c>
      <c r="J1322">
        <v>4.7655089902162509E-2</v>
      </c>
      <c r="L1322" t="s">
        <v>505</v>
      </c>
      <c r="M1322">
        <v>0</v>
      </c>
      <c r="N1322" t="s">
        <v>4</v>
      </c>
      <c r="O1322" t="s">
        <v>496</v>
      </c>
      <c r="P1322" t="s">
        <v>556</v>
      </c>
    </row>
    <row r="1324" spans="1:16">
      <c r="A1324" s="1" t="s">
        <v>0</v>
      </c>
      <c r="B1324" s="1" t="s">
        <v>501</v>
      </c>
    </row>
    <row r="1325" spans="1:16">
      <c r="A1325" t="s">
        <v>13</v>
      </c>
      <c r="B1325" t="s">
        <v>328</v>
      </c>
    </row>
    <row r="1326" spans="1:16">
      <c r="A1326" t="s">
        <v>1</v>
      </c>
      <c r="B1326" t="s">
        <v>194</v>
      </c>
    </row>
    <row r="1327" spans="1:16">
      <c r="A1327" t="s">
        <v>2</v>
      </c>
      <c r="B1327">
        <v>1</v>
      </c>
    </row>
    <row r="1328" spans="1:16">
      <c r="A1328" t="s">
        <v>3</v>
      </c>
      <c r="B1328" t="s">
        <v>501</v>
      </c>
    </row>
    <row r="1329" spans="1:16">
      <c r="A1329" t="s">
        <v>5</v>
      </c>
      <c r="B1329" t="s">
        <v>6</v>
      </c>
    </row>
    <row r="1330" spans="1:16">
      <c r="A1330" t="s">
        <v>7</v>
      </c>
      <c r="B1330" t="s">
        <v>38</v>
      </c>
    </row>
    <row r="1331" spans="1:16">
      <c r="A1331" s="1" t="s">
        <v>14</v>
      </c>
    </row>
    <row r="1332" spans="1:16">
      <c r="A1332" t="s">
        <v>15</v>
      </c>
      <c r="B1332" t="s">
        <v>16</v>
      </c>
      <c r="C1332" t="s">
        <v>17</v>
      </c>
      <c r="D1332" t="s">
        <v>1</v>
      </c>
      <c r="E1332" t="s">
        <v>7</v>
      </c>
      <c r="F1332" t="s">
        <v>18</v>
      </c>
      <c r="G1332" t="s">
        <v>5</v>
      </c>
      <c r="H1332" t="s">
        <v>203</v>
      </c>
      <c r="I1332" t="s">
        <v>204</v>
      </c>
      <c r="J1332" t="s">
        <v>205</v>
      </c>
      <c r="K1332" t="s">
        <v>206</v>
      </c>
      <c r="L1332" t="s">
        <v>13</v>
      </c>
      <c r="M1332" t="s">
        <v>207</v>
      </c>
      <c r="N1332" t="s">
        <v>208</v>
      </c>
      <c r="O1332" t="s">
        <v>3</v>
      </c>
      <c r="P1332" t="s">
        <v>209</v>
      </c>
    </row>
    <row r="1333" spans="1:16">
      <c r="A1333" t="s">
        <v>504</v>
      </c>
      <c r="B1333">
        <v>1.1000000000000001E-3</v>
      </c>
      <c r="C1333" t="s">
        <v>172</v>
      </c>
      <c r="E1333" t="s">
        <v>38</v>
      </c>
      <c r="F1333" t="s">
        <v>217</v>
      </c>
      <c r="G1333" t="s">
        <v>126</v>
      </c>
      <c r="H1333">
        <v>2</v>
      </c>
      <c r="I1333">
        <v>-6.812445099177812</v>
      </c>
      <c r="J1333">
        <v>4.7655089902162509E-2</v>
      </c>
      <c r="L1333" t="s">
        <v>505</v>
      </c>
      <c r="M1333">
        <v>0</v>
      </c>
    </row>
    <row r="1334" spans="1:16">
      <c r="A1334" t="s">
        <v>506</v>
      </c>
      <c r="B1334">
        <v>3.8E-6</v>
      </c>
      <c r="C1334" t="s">
        <v>172</v>
      </c>
      <c r="E1334" t="s">
        <v>38</v>
      </c>
      <c r="F1334" t="s">
        <v>217</v>
      </c>
      <c r="G1334" t="s">
        <v>126</v>
      </c>
      <c r="H1334">
        <v>2</v>
      </c>
      <c r="I1334">
        <v>-12.480509491231929</v>
      </c>
      <c r="J1334">
        <v>4.7655089902162509E-2</v>
      </c>
      <c r="L1334" t="s">
        <v>505</v>
      </c>
      <c r="M1334">
        <v>0</v>
      </c>
    </row>
    <row r="1335" spans="1:16">
      <c r="A1335" t="s">
        <v>507</v>
      </c>
      <c r="B1335">
        <v>1.3E-6</v>
      </c>
      <c r="C1335" t="s">
        <v>172</v>
      </c>
      <c r="E1335" t="s">
        <v>38</v>
      </c>
      <c r="F1335" t="s">
        <v>217</v>
      </c>
      <c r="G1335" t="s">
        <v>126</v>
      </c>
      <c r="H1335">
        <v>2</v>
      </c>
      <c r="I1335">
        <v>-13.553146293496781</v>
      </c>
      <c r="J1335">
        <v>4.7655089902162509E-2</v>
      </c>
      <c r="L1335" t="s">
        <v>505</v>
      </c>
      <c r="M1335">
        <v>0</v>
      </c>
    </row>
    <row r="1336" spans="1:16">
      <c r="A1336" t="s">
        <v>508</v>
      </c>
      <c r="B1336">
        <v>1.2999999999999999E-5</v>
      </c>
      <c r="C1336" t="s">
        <v>172</v>
      </c>
      <c r="E1336" t="s">
        <v>38</v>
      </c>
      <c r="F1336" t="s">
        <v>212</v>
      </c>
      <c r="G1336" t="s">
        <v>126</v>
      </c>
      <c r="H1336">
        <v>2</v>
      </c>
      <c r="I1336">
        <v>-11.250561200502739</v>
      </c>
      <c r="J1336">
        <v>0.13118213223374561</v>
      </c>
      <c r="L1336" t="s">
        <v>509</v>
      </c>
      <c r="M1336">
        <v>0</v>
      </c>
    </row>
    <row r="1337" spans="1:16">
      <c r="A1337" t="s">
        <v>510</v>
      </c>
      <c r="B1337">
        <v>1.2999999999999999E-3</v>
      </c>
      <c r="C1337" t="s">
        <v>172</v>
      </c>
      <c r="E1337" t="s">
        <v>38</v>
      </c>
      <c r="F1337" t="s">
        <v>212</v>
      </c>
      <c r="G1337" t="s">
        <v>126</v>
      </c>
      <c r="H1337">
        <v>2</v>
      </c>
      <c r="I1337">
        <v>-6.6453910145146464</v>
      </c>
      <c r="J1337">
        <v>4.7655089902162509E-2</v>
      </c>
      <c r="L1337" t="s">
        <v>505</v>
      </c>
      <c r="M1337">
        <v>0</v>
      </c>
    </row>
    <row r="1338" spans="1:16">
      <c r="A1338" t="s">
        <v>415</v>
      </c>
      <c r="B1338">
        <v>1.1E-4</v>
      </c>
      <c r="C1338" t="s">
        <v>172</v>
      </c>
      <c r="E1338" t="s">
        <v>38</v>
      </c>
      <c r="F1338" t="s">
        <v>217</v>
      </c>
      <c r="G1338" t="s">
        <v>126</v>
      </c>
      <c r="H1338">
        <v>2</v>
      </c>
      <c r="I1338">
        <v>-9.1150301921718579</v>
      </c>
      <c r="J1338">
        <v>4.7655089902162509E-2</v>
      </c>
      <c r="L1338" t="s">
        <v>505</v>
      </c>
      <c r="M1338">
        <v>0</v>
      </c>
    </row>
    <row r="1339" spans="1:16">
      <c r="A1339" t="s">
        <v>214</v>
      </c>
      <c r="B1339">
        <v>126</v>
      </c>
      <c r="C1339" t="s">
        <v>172</v>
      </c>
      <c r="E1339" t="s">
        <v>33</v>
      </c>
      <c r="F1339" t="s">
        <v>212</v>
      </c>
      <c r="G1339" t="s">
        <v>126</v>
      </c>
      <c r="H1339">
        <v>2</v>
      </c>
      <c r="I1339">
        <v>4.836281906951478</v>
      </c>
      <c r="J1339">
        <v>4.7655089902162509E-2</v>
      </c>
      <c r="L1339" t="s">
        <v>511</v>
      </c>
      <c r="M1339">
        <v>0</v>
      </c>
    </row>
    <row r="1340" spans="1:16">
      <c r="A1340" t="s">
        <v>512</v>
      </c>
      <c r="B1340">
        <v>6.0999999999999999E-5</v>
      </c>
      <c r="C1340" t="s">
        <v>172</v>
      </c>
      <c r="E1340" t="s">
        <v>38</v>
      </c>
      <c r="F1340" t="s">
        <v>217</v>
      </c>
      <c r="G1340" t="s">
        <v>126</v>
      </c>
      <c r="H1340">
        <v>2</v>
      </c>
      <c r="I1340">
        <v>-9.7046366937909632</v>
      </c>
      <c r="J1340">
        <v>4.7655089902162509E-2</v>
      </c>
      <c r="L1340" t="s">
        <v>505</v>
      </c>
      <c r="M1340">
        <v>0</v>
      </c>
    </row>
    <row r="1341" spans="1:16">
      <c r="A1341" t="s">
        <v>513</v>
      </c>
      <c r="B1341">
        <v>3.7E-8</v>
      </c>
      <c r="C1341" t="s">
        <v>172</v>
      </c>
      <c r="E1341" t="s">
        <v>38</v>
      </c>
      <c r="F1341" t="s">
        <v>212</v>
      </c>
      <c r="G1341" t="s">
        <v>126</v>
      </c>
      <c r="H1341">
        <v>2</v>
      </c>
      <c r="I1341">
        <v>-17.112347924302188</v>
      </c>
      <c r="J1341">
        <v>4.7655089902162509E-2</v>
      </c>
      <c r="L1341" t="s">
        <v>505</v>
      </c>
      <c r="M1341">
        <v>0</v>
      </c>
    </row>
    <row r="1342" spans="1:16">
      <c r="A1342" t="s">
        <v>514</v>
      </c>
      <c r="B1342">
        <v>2.5000000000000001E-3</v>
      </c>
      <c r="C1342" t="s">
        <v>172</v>
      </c>
      <c r="E1342" t="s">
        <v>38</v>
      </c>
      <c r="F1342" t="s">
        <v>217</v>
      </c>
      <c r="G1342" t="s">
        <v>126</v>
      </c>
      <c r="H1342">
        <v>2</v>
      </c>
      <c r="I1342">
        <v>-5.9914645471079817</v>
      </c>
      <c r="J1342">
        <v>4.7655089902162509E-2</v>
      </c>
      <c r="L1342" t="s">
        <v>505</v>
      </c>
      <c r="M1342">
        <v>0</v>
      </c>
    </row>
    <row r="1343" spans="1:16">
      <c r="A1343" t="s">
        <v>515</v>
      </c>
      <c r="B1343">
        <v>3.4000000000000002E-4</v>
      </c>
      <c r="C1343" t="s">
        <v>172</v>
      </c>
      <c r="E1343" t="s">
        <v>38</v>
      </c>
      <c r="F1343" t="s">
        <v>217</v>
      </c>
      <c r="G1343" t="s">
        <v>126</v>
      </c>
      <c r="H1343">
        <v>2</v>
      </c>
      <c r="I1343">
        <v>-7.9865649403540671</v>
      </c>
      <c r="J1343">
        <v>4.7655089902162509E-2</v>
      </c>
      <c r="L1343" t="s">
        <v>505</v>
      </c>
      <c r="M1343">
        <v>0</v>
      </c>
    </row>
    <row r="1344" spans="1:16">
      <c r="A1344" t="s">
        <v>516</v>
      </c>
      <c r="B1344">
        <v>2.2000000000000001E-6</v>
      </c>
      <c r="C1344" t="s">
        <v>172</v>
      </c>
      <c r="E1344" t="s">
        <v>211</v>
      </c>
      <c r="F1344" t="s">
        <v>212</v>
      </c>
      <c r="G1344" t="s">
        <v>126</v>
      </c>
      <c r="H1344">
        <v>2</v>
      </c>
      <c r="I1344">
        <v>-13.027053197600001</v>
      </c>
      <c r="J1344">
        <v>0.20273255405408211</v>
      </c>
      <c r="L1344" t="s">
        <v>517</v>
      </c>
      <c r="M1344">
        <v>0</v>
      </c>
    </row>
    <row r="1345" spans="1:16">
      <c r="A1345" t="s">
        <v>516</v>
      </c>
      <c r="B1345">
        <v>3.0999999999999999E-3</v>
      </c>
      <c r="C1345" t="s">
        <v>172</v>
      </c>
      <c r="E1345" t="s">
        <v>211</v>
      </c>
      <c r="F1345" t="s">
        <v>217</v>
      </c>
      <c r="G1345" t="s">
        <v>126</v>
      </c>
      <c r="H1345">
        <v>2</v>
      </c>
      <c r="I1345">
        <v>-5.7763531674910356</v>
      </c>
      <c r="J1345">
        <v>4.7655089902162509E-2</v>
      </c>
      <c r="L1345" t="s">
        <v>505</v>
      </c>
      <c r="M1345">
        <v>0</v>
      </c>
    </row>
    <row r="1346" spans="1:16">
      <c r="A1346" t="s">
        <v>499</v>
      </c>
      <c r="B1346">
        <v>3.1000000000000001E-5</v>
      </c>
      <c r="C1346" t="s">
        <v>172</v>
      </c>
      <c r="E1346" t="s">
        <v>211</v>
      </c>
      <c r="F1346" t="s">
        <v>212</v>
      </c>
      <c r="G1346" t="s">
        <v>126</v>
      </c>
      <c r="H1346">
        <v>2</v>
      </c>
      <c r="I1346">
        <v>-10.38152335347913</v>
      </c>
      <c r="J1346">
        <v>4.7655089902162509E-2</v>
      </c>
      <c r="L1346" t="s">
        <v>505</v>
      </c>
      <c r="M1346">
        <v>0</v>
      </c>
    </row>
    <row r="1347" spans="1:16">
      <c r="A1347" t="s">
        <v>499</v>
      </c>
      <c r="B1347">
        <v>8.1999999999999994E-6</v>
      </c>
      <c r="C1347" t="s">
        <v>172</v>
      </c>
      <c r="E1347" t="s">
        <v>211</v>
      </c>
      <c r="F1347" t="s">
        <v>217</v>
      </c>
      <c r="G1347" t="s">
        <v>126</v>
      </c>
      <c r="H1347">
        <v>2</v>
      </c>
      <c r="I1347">
        <v>-11.71137640369407</v>
      </c>
      <c r="J1347">
        <v>4.7655089902162509E-2</v>
      </c>
      <c r="L1347" t="s">
        <v>505</v>
      </c>
      <c r="M1347">
        <v>0</v>
      </c>
    </row>
    <row r="1348" spans="1:16">
      <c r="A1348" t="s">
        <v>518</v>
      </c>
      <c r="B1348">
        <v>3.8000000000000002E-5</v>
      </c>
      <c r="C1348" t="s">
        <v>172</v>
      </c>
      <c r="E1348" t="s">
        <v>38</v>
      </c>
      <c r="F1348" t="s">
        <v>217</v>
      </c>
      <c r="G1348" t="s">
        <v>126</v>
      </c>
      <c r="H1348">
        <v>2</v>
      </c>
      <c r="I1348">
        <v>-10.17792439823789</v>
      </c>
      <c r="J1348">
        <v>4.7655089902162509E-2</v>
      </c>
      <c r="L1348" t="s">
        <v>505</v>
      </c>
      <c r="M1348">
        <v>0</v>
      </c>
    </row>
    <row r="1349" spans="1:16">
      <c r="A1349" t="s">
        <v>501</v>
      </c>
      <c r="B1349">
        <v>1</v>
      </c>
      <c r="C1349" t="s">
        <v>1413</v>
      </c>
      <c r="D1349" t="s">
        <v>194</v>
      </c>
      <c r="E1349" t="s">
        <v>38</v>
      </c>
      <c r="F1349" t="s">
        <v>224</v>
      </c>
      <c r="G1349" t="s">
        <v>24</v>
      </c>
      <c r="K1349">
        <v>100</v>
      </c>
      <c r="L1349" t="s">
        <v>519</v>
      </c>
      <c r="O1349" t="s">
        <v>501</v>
      </c>
    </row>
    <row r="1350" spans="1:16">
      <c r="A1350" t="s">
        <v>236</v>
      </c>
      <c r="B1350">
        <v>2.5000000000000001E-5</v>
      </c>
      <c r="C1350" t="s">
        <v>171</v>
      </c>
      <c r="D1350" t="s">
        <v>20</v>
      </c>
      <c r="E1350" t="s">
        <v>38</v>
      </c>
      <c r="F1350" t="s">
        <v>227</v>
      </c>
      <c r="G1350" t="s">
        <v>26</v>
      </c>
      <c r="H1350">
        <v>2</v>
      </c>
      <c r="I1350">
        <v>-10.596634733096071</v>
      </c>
      <c r="J1350">
        <v>4.7655089902162509E-2</v>
      </c>
      <c r="L1350" t="s">
        <v>505</v>
      </c>
      <c r="M1350">
        <v>0</v>
      </c>
      <c r="N1350" t="s">
        <v>237</v>
      </c>
      <c r="O1350" t="s">
        <v>237</v>
      </c>
      <c r="P1350" t="s">
        <v>238</v>
      </c>
    </row>
    <row r="1351" spans="1:16">
      <c r="A1351" t="s">
        <v>41</v>
      </c>
      <c r="B1351">
        <v>0.05</v>
      </c>
      <c r="C1351" t="s">
        <v>171</v>
      </c>
      <c r="D1351" t="s">
        <v>42</v>
      </c>
      <c r="E1351" t="s">
        <v>38</v>
      </c>
      <c r="F1351" t="s">
        <v>227</v>
      </c>
      <c r="G1351" t="s">
        <v>26</v>
      </c>
      <c r="H1351">
        <v>2</v>
      </c>
      <c r="I1351">
        <v>-2.9957322735539909</v>
      </c>
      <c r="J1351">
        <v>0.3465735902799727</v>
      </c>
      <c r="L1351" t="s">
        <v>223</v>
      </c>
      <c r="M1351">
        <v>0</v>
      </c>
      <c r="N1351" t="s">
        <v>43</v>
      </c>
      <c r="O1351" t="s">
        <v>43</v>
      </c>
      <c r="P1351" t="s">
        <v>386</v>
      </c>
    </row>
    <row r="1352" spans="1:16">
      <c r="A1352" t="s">
        <v>242</v>
      </c>
      <c r="B1352">
        <v>1.8E-3</v>
      </c>
      <c r="C1352" t="s">
        <v>171</v>
      </c>
      <c r="D1352" t="s">
        <v>20</v>
      </c>
      <c r="E1352" t="s">
        <v>38</v>
      </c>
      <c r="F1352" t="s">
        <v>227</v>
      </c>
      <c r="G1352" t="s">
        <v>26</v>
      </c>
      <c r="H1352">
        <v>2</v>
      </c>
      <c r="I1352">
        <v>-6.3199686140800182</v>
      </c>
      <c r="J1352">
        <v>4.7655089902162509E-2</v>
      </c>
      <c r="L1352" t="s">
        <v>505</v>
      </c>
      <c r="M1352">
        <v>0</v>
      </c>
      <c r="N1352" t="s">
        <v>244</v>
      </c>
      <c r="O1352" t="s">
        <v>244</v>
      </c>
      <c r="P1352" t="s">
        <v>245</v>
      </c>
    </row>
    <row r="1353" spans="1:16">
      <c r="A1353" t="s">
        <v>246</v>
      </c>
      <c r="B1353">
        <v>2.3999999999999998E-3</v>
      </c>
      <c r="C1353" t="s">
        <v>171</v>
      </c>
      <c r="D1353" t="s">
        <v>155</v>
      </c>
      <c r="E1353" t="s">
        <v>38</v>
      </c>
      <c r="F1353" t="s">
        <v>247</v>
      </c>
      <c r="G1353" t="s">
        <v>26</v>
      </c>
      <c r="H1353">
        <v>2</v>
      </c>
      <c r="I1353">
        <v>-6.0322865416282374</v>
      </c>
      <c r="J1353">
        <v>4.7655089902162509E-2</v>
      </c>
      <c r="L1353" t="s">
        <v>505</v>
      </c>
      <c r="M1353">
        <v>0</v>
      </c>
      <c r="N1353" t="s">
        <v>248</v>
      </c>
      <c r="O1353" t="s">
        <v>248</v>
      </c>
      <c r="P1353" t="s">
        <v>249</v>
      </c>
    </row>
    <row r="1354" spans="1:16">
      <c r="A1354" t="s">
        <v>52</v>
      </c>
      <c r="B1354">
        <v>1.8E-3</v>
      </c>
      <c r="C1354" t="s">
        <v>171</v>
      </c>
      <c r="D1354" t="s">
        <v>155</v>
      </c>
      <c r="E1354" t="s">
        <v>38</v>
      </c>
      <c r="F1354" t="s">
        <v>227</v>
      </c>
      <c r="G1354" t="s">
        <v>26</v>
      </c>
      <c r="H1354">
        <v>2</v>
      </c>
      <c r="I1354">
        <v>-6.3199686140800182</v>
      </c>
      <c r="J1354">
        <v>0.3465735902799727</v>
      </c>
      <c r="L1354" t="s">
        <v>298</v>
      </c>
      <c r="M1354">
        <v>0</v>
      </c>
      <c r="N1354" t="s">
        <v>50</v>
      </c>
      <c r="O1354" t="s">
        <v>50</v>
      </c>
      <c r="P1354" t="s">
        <v>520</v>
      </c>
    </row>
    <row r="1355" spans="1:16">
      <c r="A1355" t="s">
        <v>262</v>
      </c>
      <c r="B1355">
        <v>3.1099999999999999E-2</v>
      </c>
      <c r="C1355" t="s">
        <v>171</v>
      </c>
      <c r="D1355" t="s">
        <v>34</v>
      </c>
      <c r="E1355" t="s">
        <v>38</v>
      </c>
      <c r="F1355" t="s">
        <v>227</v>
      </c>
      <c r="G1355" t="s">
        <v>26</v>
      </c>
      <c r="H1355">
        <v>2</v>
      </c>
      <c r="I1355">
        <v>-3.4705474597969488</v>
      </c>
      <c r="J1355">
        <v>4.7655089902162509E-2</v>
      </c>
      <c r="L1355" t="s">
        <v>505</v>
      </c>
      <c r="M1355">
        <v>0</v>
      </c>
      <c r="N1355" t="s">
        <v>263</v>
      </c>
      <c r="O1355" t="s">
        <v>263</v>
      </c>
      <c r="P1355" t="s">
        <v>264</v>
      </c>
    </row>
    <row r="1356" spans="1:16">
      <c r="A1356" t="s">
        <v>183</v>
      </c>
      <c r="B1356">
        <v>8.1999999999999998E-4</v>
      </c>
      <c r="C1356" t="s">
        <v>171</v>
      </c>
      <c r="D1356" t="s">
        <v>34</v>
      </c>
      <c r="E1356" t="s">
        <v>38</v>
      </c>
      <c r="F1356" t="s">
        <v>227</v>
      </c>
      <c r="G1356" t="s">
        <v>26</v>
      </c>
      <c r="H1356">
        <v>2</v>
      </c>
      <c r="I1356">
        <v>-7.1062062177059753</v>
      </c>
      <c r="J1356">
        <v>4.7655089902162509E-2</v>
      </c>
      <c r="L1356" t="s">
        <v>505</v>
      </c>
      <c r="M1356">
        <v>0</v>
      </c>
      <c r="N1356" t="s">
        <v>184</v>
      </c>
      <c r="O1356" t="s">
        <v>184</v>
      </c>
      <c r="P1356" t="s">
        <v>265</v>
      </c>
    </row>
    <row r="1357" spans="1:16">
      <c r="A1357" t="s">
        <v>1004</v>
      </c>
      <c r="B1357">
        <v>2.9E-4</v>
      </c>
      <c r="C1357" t="s">
        <v>171</v>
      </c>
      <c r="D1357" t="s">
        <v>155</v>
      </c>
      <c r="E1357" t="s">
        <v>119</v>
      </c>
      <c r="F1357" t="s">
        <v>227</v>
      </c>
      <c r="G1357" t="s">
        <v>26</v>
      </c>
      <c r="H1357">
        <v>2</v>
      </c>
      <c r="I1357">
        <v>-8.145629634983754</v>
      </c>
      <c r="J1357">
        <v>0.3465735902799727</v>
      </c>
      <c r="L1357" t="s">
        <v>223</v>
      </c>
      <c r="M1357">
        <v>0</v>
      </c>
      <c r="N1357" t="s">
        <v>1003</v>
      </c>
      <c r="O1357" t="s">
        <v>1003</v>
      </c>
      <c r="P1357" t="s">
        <v>266</v>
      </c>
    </row>
    <row r="1358" spans="1:16">
      <c r="A1358" t="s">
        <v>267</v>
      </c>
      <c r="B1358">
        <v>0.6</v>
      </c>
      <c r="C1358" t="s">
        <v>171</v>
      </c>
      <c r="D1358" t="s">
        <v>34</v>
      </c>
      <c r="E1358" t="s">
        <v>33</v>
      </c>
      <c r="F1358" t="s">
        <v>227</v>
      </c>
      <c r="G1358" t="s">
        <v>26</v>
      </c>
      <c r="H1358">
        <v>2</v>
      </c>
      <c r="I1358">
        <v>-0.51082562376599072</v>
      </c>
      <c r="J1358">
        <v>4.7655089902162509E-2</v>
      </c>
      <c r="L1358" t="s">
        <v>505</v>
      </c>
      <c r="M1358">
        <v>0</v>
      </c>
      <c r="N1358" t="s">
        <v>268</v>
      </c>
      <c r="O1358" t="s">
        <v>268</v>
      </c>
      <c r="P1358" t="s">
        <v>269</v>
      </c>
    </row>
    <row r="1359" spans="1:16">
      <c r="A1359" t="s">
        <v>365</v>
      </c>
      <c r="B1359">
        <v>35</v>
      </c>
      <c r="C1359" t="s">
        <v>171</v>
      </c>
      <c r="D1359" t="s">
        <v>194</v>
      </c>
      <c r="E1359" t="s">
        <v>8</v>
      </c>
      <c r="F1359" t="s">
        <v>227</v>
      </c>
      <c r="G1359" t="s">
        <v>26</v>
      </c>
      <c r="H1359">
        <v>2</v>
      </c>
      <c r="I1359">
        <v>3.555348061489414</v>
      </c>
      <c r="J1359">
        <v>0.1115717756571049</v>
      </c>
      <c r="L1359" t="s">
        <v>555</v>
      </c>
      <c r="M1359">
        <v>0</v>
      </c>
      <c r="N1359" t="s">
        <v>366</v>
      </c>
      <c r="O1359" t="s">
        <v>366</v>
      </c>
      <c r="P1359" t="s">
        <v>367</v>
      </c>
    </row>
    <row r="1360" spans="1:16">
      <c r="A1360" t="s">
        <v>521</v>
      </c>
      <c r="B1360">
        <v>2.0000000000000001E-4</v>
      </c>
      <c r="C1360" t="s">
        <v>171</v>
      </c>
      <c r="D1360" t="s">
        <v>20</v>
      </c>
      <c r="E1360" t="s">
        <v>38</v>
      </c>
      <c r="F1360" t="s">
        <v>227</v>
      </c>
      <c r="G1360" t="s">
        <v>26</v>
      </c>
      <c r="H1360">
        <v>2</v>
      </c>
      <c r="I1360">
        <v>-8.5171931914162382</v>
      </c>
      <c r="J1360">
        <v>4.7655089902162509E-2</v>
      </c>
      <c r="L1360" t="s">
        <v>505</v>
      </c>
      <c r="M1360">
        <v>0</v>
      </c>
      <c r="N1360" t="s">
        <v>522</v>
      </c>
      <c r="O1360" t="s">
        <v>522</v>
      </c>
      <c r="P1360" t="s">
        <v>523</v>
      </c>
    </row>
    <row r="1361" spans="1:16">
      <c r="A1361" t="s">
        <v>524</v>
      </c>
      <c r="B1361">
        <v>6.8000000000000005E-4</v>
      </c>
      <c r="C1361" t="s">
        <v>171</v>
      </c>
      <c r="D1361" t="s">
        <v>20</v>
      </c>
      <c r="E1361" t="s">
        <v>38</v>
      </c>
      <c r="F1361" t="s">
        <v>227</v>
      </c>
      <c r="G1361" t="s">
        <v>26</v>
      </c>
      <c r="H1361">
        <v>2</v>
      </c>
      <c r="I1361">
        <v>-7.2934177597941217</v>
      </c>
      <c r="J1361">
        <v>4.7655089902162509E-2</v>
      </c>
      <c r="L1361" t="s">
        <v>505</v>
      </c>
      <c r="M1361">
        <v>0</v>
      </c>
      <c r="N1361" t="s">
        <v>525</v>
      </c>
      <c r="O1361" t="s">
        <v>525</v>
      </c>
      <c r="P1361" t="s">
        <v>526</v>
      </c>
    </row>
    <row r="1362" spans="1:16">
      <c r="A1362" t="s">
        <v>1255</v>
      </c>
      <c r="B1362">
        <v>1.1E-5</v>
      </c>
      <c r="C1362" t="s">
        <v>171</v>
      </c>
      <c r="D1362" t="s">
        <v>20</v>
      </c>
      <c r="E1362" t="s">
        <v>38</v>
      </c>
      <c r="F1362" t="s">
        <v>227</v>
      </c>
      <c r="G1362" t="s">
        <v>26</v>
      </c>
      <c r="H1362">
        <v>2</v>
      </c>
      <c r="I1362">
        <v>-11.417615285165899</v>
      </c>
      <c r="J1362">
        <v>4.7655089902162509E-2</v>
      </c>
      <c r="L1362" t="s">
        <v>505</v>
      </c>
      <c r="M1362">
        <v>0</v>
      </c>
      <c r="N1362" t="s">
        <v>273</v>
      </c>
      <c r="O1362" t="s">
        <v>1256</v>
      </c>
      <c r="P1362" t="s">
        <v>274</v>
      </c>
    </row>
    <row r="1363" spans="1:16">
      <c r="A1363" t="s">
        <v>440</v>
      </c>
      <c r="B1363">
        <v>-3.0000000000000001E-6</v>
      </c>
      <c r="C1363" t="s">
        <v>171</v>
      </c>
      <c r="D1363" t="s">
        <v>34</v>
      </c>
      <c r="E1363" t="s">
        <v>119</v>
      </c>
      <c r="F1363" t="s">
        <v>247</v>
      </c>
      <c r="G1363" t="s">
        <v>26</v>
      </c>
      <c r="H1363">
        <v>2</v>
      </c>
      <c r="I1363">
        <v>-12.716898269296159</v>
      </c>
      <c r="J1363">
        <v>4.7655089902162509E-2</v>
      </c>
      <c r="L1363" t="s">
        <v>505</v>
      </c>
      <c r="M1363">
        <v>0</v>
      </c>
      <c r="N1363" t="s">
        <v>314</v>
      </c>
      <c r="O1363" t="s">
        <v>314</v>
      </c>
      <c r="P1363" t="s">
        <v>441</v>
      </c>
    </row>
    <row r="1364" spans="1:16">
      <c r="A1364" t="s">
        <v>275</v>
      </c>
      <c r="B1364">
        <v>9.1999999999999998E-3</v>
      </c>
      <c r="C1364" t="s">
        <v>171</v>
      </c>
      <c r="D1364" t="s">
        <v>20</v>
      </c>
      <c r="E1364" t="s">
        <v>38</v>
      </c>
      <c r="F1364" t="s">
        <v>227</v>
      </c>
      <c r="G1364" t="s">
        <v>26</v>
      </c>
      <c r="H1364">
        <v>2</v>
      </c>
      <c r="I1364">
        <v>-4.6885517949271422</v>
      </c>
      <c r="J1364">
        <v>4.7655089902162509E-2</v>
      </c>
      <c r="L1364" t="s">
        <v>505</v>
      </c>
      <c r="M1364">
        <v>0</v>
      </c>
      <c r="N1364" t="s">
        <v>276</v>
      </c>
      <c r="O1364" t="s">
        <v>276</v>
      </c>
      <c r="P1364" t="s">
        <v>277</v>
      </c>
    </row>
    <row r="1365" spans="1:16">
      <c r="A1365" t="s">
        <v>527</v>
      </c>
      <c r="B1365">
        <v>3.2000000000000003E-4</v>
      </c>
      <c r="C1365" t="s">
        <v>171</v>
      </c>
      <c r="D1365" t="s">
        <v>20</v>
      </c>
      <c r="E1365" t="s">
        <v>38</v>
      </c>
      <c r="F1365" t="s">
        <v>227</v>
      </c>
      <c r="G1365" t="s">
        <v>26</v>
      </c>
      <c r="H1365">
        <v>2</v>
      </c>
      <c r="I1365">
        <v>-8.0471895621705016</v>
      </c>
      <c r="J1365">
        <v>4.7655089902162509E-2</v>
      </c>
      <c r="L1365" t="s">
        <v>505</v>
      </c>
      <c r="M1365">
        <v>0</v>
      </c>
      <c r="N1365" t="s">
        <v>528</v>
      </c>
      <c r="O1365" t="s">
        <v>528</v>
      </c>
      <c r="P1365" t="s">
        <v>529</v>
      </c>
    </row>
    <row r="1366" spans="1:16">
      <c r="A1366" t="s">
        <v>530</v>
      </c>
      <c r="B1366">
        <v>-0.23499999999999999</v>
      </c>
      <c r="C1366" t="s">
        <v>171</v>
      </c>
      <c r="D1366" t="s">
        <v>155</v>
      </c>
      <c r="E1366" t="s">
        <v>38</v>
      </c>
      <c r="F1366" t="s">
        <v>247</v>
      </c>
      <c r="G1366" t="s">
        <v>26</v>
      </c>
      <c r="H1366">
        <v>2</v>
      </c>
      <c r="I1366">
        <v>-1.4481697648379781</v>
      </c>
      <c r="J1366">
        <v>4.7655089902162509E-2</v>
      </c>
      <c r="L1366" t="s">
        <v>505</v>
      </c>
      <c r="M1366">
        <v>0</v>
      </c>
      <c r="N1366" t="s">
        <v>531</v>
      </c>
      <c r="O1366" t="s">
        <v>531</v>
      </c>
      <c r="P1366" t="s">
        <v>532</v>
      </c>
    </row>
    <row r="1367" spans="1:16">
      <c r="A1367" t="s">
        <v>533</v>
      </c>
      <c r="B1367">
        <v>1.5E-3</v>
      </c>
      <c r="C1367" t="s">
        <v>171</v>
      </c>
      <c r="D1367" t="s">
        <v>534</v>
      </c>
      <c r="E1367" t="s">
        <v>38</v>
      </c>
      <c r="F1367" t="s">
        <v>227</v>
      </c>
      <c r="G1367" t="s">
        <v>26</v>
      </c>
      <c r="H1367">
        <v>2</v>
      </c>
      <c r="I1367">
        <v>-6.5022901708739722</v>
      </c>
      <c r="J1367">
        <v>4.7655089902162509E-2</v>
      </c>
      <c r="L1367" t="s">
        <v>505</v>
      </c>
      <c r="M1367">
        <v>0</v>
      </c>
      <c r="N1367" t="s">
        <v>535</v>
      </c>
      <c r="O1367" t="s">
        <v>535</v>
      </c>
      <c r="P1367" t="s">
        <v>536</v>
      </c>
    </row>
    <row r="1368" spans="1:16">
      <c r="A1368" t="s">
        <v>281</v>
      </c>
      <c r="B1368">
        <v>3.8999999999999999E-4</v>
      </c>
      <c r="C1368" t="s">
        <v>171</v>
      </c>
      <c r="D1368" t="s">
        <v>20</v>
      </c>
      <c r="E1368" t="s">
        <v>38</v>
      </c>
      <c r="F1368" t="s">
        <v>227</v>
      </c>
      <c r="G1368" t="s">
        <v>26</v>
      </c>
      <c r="H1368">
        <v>2</v>
      </c>
      <c r="I1368">
        <v>-7.8493638188405823</v>
      </c>
      <c r="J1368">
        <v>4.7655089902162509E-2</v>
      </c>
      <c r="L1368" t="s">
        <v>505</v>
      </c>
      <c r="M1368">
        <v>0</v>
      </c>
      <c r="N1368" t="s">
        <v>282</v>
      </c>
      <c r="O1368" t="s">
        <v>282</v>
      </c>
      <c r="P1368" t="s">
        <v>283</v>
      </c>
    </row>
    <row r="1369" spans="1:16">
      <c r="A1369" t="s">
        <v>287</v>
      </c>
      <c r="B1369">
        <v>3.6000000000000001E-5</v>
      </c>
      <c r="C1369" t="s">
        <v>171</v>
      </c>
      <c r="D1369" t="s">
        <v>20</v>
      </c>
      <c r="E1369" t="s">
        <v>38</v>
      </c>
      <c r="F1369" t="s">
        <v>227</v>
      </c>
      <c r="G1369" t="s">
        <v>26</v>
      </c>
      <c r="H1369">
        <v>2</v>
      </c>
      <c r="I1369">
        <v>-10.231991619508159</v>
      </c>
      <c r="J1369">
        <v>4.7655089902162509E-2</v>
      </c>
      <c r="L1369" t="s">
        <v>505</v>
      </c>
      <c r="M1369">
        <v>0</v>
      </c>
      <c r="N1369" t="s">
        <v>288</v>
      </c>
      <c r="O1369" t="s">
        <v>288</v>
      </c>
      <c r="P1369" t="s">
        <v>289</v>
      </c>
    </row>
    <row r="1370" spans="1:16">
      <c r="A1370" t="s">
        <v>537</v>
      </c>
      <c r="B1370">
        <v>1.2E-4</v>
      </c>
      <c r="C1370" t="s">
        <v>171</v>
      </c>
      <c r="D1370" t="s">
        <v>20</v>
      </c>
      <c r="E1370" t="s">
        <v>38</v>
      </c>
      <c r="F1370" t="s">
        <v>227</v>
      </c>
      <c r="G1370" t="s">
        <v>26</v>
      </c>
      <c r="H1370">
        <v>2</v>
      </c>
      <c r="I1370">
        <v>-9.0280188151822287</v>
      </c>
      <c r="J1370">
        <v>4.7655089902162509E-2</v>
      </c>
      <c r="L1370" t="s">
        <v>505</v>
      </c>
      <c r="M1370">
        <v>0</v>
      </c>
      <c r="N1370" t="s">
        <v>538</v>
      </c>
      <c r="O1370" t="s">
        <v>538</v>
      </c>
      <c r="P1370" t="s">
        <v>539</v>
      </c>
    </row>
    <row r="1371" spans="1:16">
      <c r="A1371" t="s">
        <v>1302</v>
      </c>
      <c r="B1371">
        <v>8.7000000000000001E-4</v>
      </c>
      <c r="C1371" t="s">
        <v>171</v>
      </c>
      <c r="D1371" t="s">
        <v>20</v>
      </c>
      <c r="E1371" t="s">
        <v>38</v>
      </c>
      <c r="F1371" t="s">
        <v>227</v>
      </c>
      <c r="G1371" t="s">
        <v>26</v>
      </c>
      <c r="H1371">
        <v>2</v>
      </c>
      <c r="I1371">
        <v>-7.0470173463156449</v>
      </c>
      <c r="J1371">
        <v>4.7655089902162509E-2</v>
      </c>
      <c r="L1371" t="s">
        <v>505</v>
      </c>
      <c r="M1371">
        <v>0</v>
      </c>
      <c r="N1371" t="s">
        <v>1303</v>
      </c>
      <c r="O1371" t="s">
        <v>1303</v>
      </c>
      <c r="P1371" t="s">
        <v>1304</v>
      </c>
    </row>
    <row r="1372" spans="1:16">
      <c r="A1372" t="s">
        <v>540</v>
      </c>
      <c r="B1372">
        <v>8.8000000000000003E-4</v>
      </c>
      <c r="C1372" t="s">
        <v>171</v>
      </c>
      <c r="D1372" t="s">
        <v>34</v>
      </c>
      <c r="E1372" t="s">
        <v>38</v>
      </c>
      <c r="F1372" t="s">
        <v>227</v>
      </c>
      <c r="G1372" t="s">
        <v>26</v>
      </c>
      <c r="H1372">
        <v>2</v>
      </c>
      <c r="I1372">
        <v>-7.0355886504920218</v>
      </c>
      <c r="J1372">
        <v>4.7655089902162509E-2</v>
      </c>
      <c r="L1372" t="s">
        <v>505</v>
      </c>
      <c r="M1372">
        <v>0</v>
      </c>
      <c r="N1372" t="s">
        <v>541</v>
      </c>
      <c r="O1372" t="s">
        <v>541</v>
      </c>
      <c r="P1372" t="s">
        <v>542</v>
      </c>
    </row>
    <row r="1373" spans="1:16">
      <c r="A1373" t="s">
        <v>543</v>
      </c>
      <c r="B1373">
        <v>2.8E-3</v>
      </c>
      <c r="C1373" t="s">
        <v>171</v>
      </c>
      <c r="D1373" t="s">
        <v>20</v>
      </c>
      <c r="E1373" t="s">
        <v>38</v>
      </c>
      <c r="F1373" t="s">
        <v>227</v>
      </c>
      <c r="G1373" t="s">
        <v>26</v>
      </c>
      <c r="H1373">
        <v>2</v>
      </c>
      <c r="I1373">
        <v>-5.8781358618009776</v>
      </c>
      <c r="J1373">
        <v>4.7655089902162509E-2</v>
      </c>
      <c r="L1373" t="s">
        <v>505</v>
      </c>
      <c r="M1373">
        <v>0</v>
      </c>
      <c r="N1373" t="s">
        <v>544</v>
      </c>
      <c r="O1373" t="s">
        <v>544</v>
      </c>
      <c r="P1373" t="s">
        <v>545</v>
      </c>
    </row>
    <row r="1374" spans="1:16">
      <c r="A1374" t="s">
        <v>546</v>
      </c>
      <c r="B1374">
        <v>5.8000000000000003E-2</v>
      </c>
      <c r="C1374" t="s">
        <v>171</v>
      </c>
      <c r="D1374" t="s">
        <v>155</v>
      </c>
      <c r="E1374" t="s">
        <v>38</v>
      </c>
      <c r="F1374" t="s">
        <v>247</v>
      </c>
      <c r="G1374" t="s">
        <v>26</v>
      </c>
      <c r="H1374">
        <v>2</v>
      </c>
      <c r="I1374">
        <v>-2.8473122684357182</v>
      </c>
      <c r="J1374">
        <v>4.7655089902162509E-2</v>
      </c>
      <c r="L1374" t="s">
        <v>505</v>
      </c>
      <c r="M1374">
        <v>0</v>
      </c>
      <c r="N1374" t="s">
        <v>547</v>
      </c>
      <c r="O1374" t="s">
        <v>547</v>
      </c>
      <c r="P1374" t="s">
        <v>548</v>
      </c>
    </row>
    <row r="1375" spans="1:16">
      <c r="A1375" t="s">
        <v>39</v>
      </c>
      <c r="B1375">
        <v>0.15</v>
      </c>
      <c r="C1375" t="s">
        <v>171</v>
      </c>
      <c r="D1375" t="s">
        <v>34</v>
      </c>
      <c r="E1375" t="s">
        <v>38</v>
      </c>
      <c r="F1375" t="s">
        <v>227</v>
      </c>
      <c r="G1375" t="s">
        <v>26</v>
      </c>
      <c r="H1375">
        <v>2</v>
      </c>
      <c r="I1375">
        <v>-1.8971199848858811</v>
      </c>
      <c r="J1375">
        <v>0.20273255405408211</v>
      </c>
      <c r="L1375" t="s">
        <v>223</v>
      </c>
      <c r="M1375">
        <v>0</v>
      </c>
      <c r="N1375" t="s">
        <v>40</v>
      </c>
      <c r="O1375" t="s">
        <v>40</v>
      </c>
      <c r="P1375" t="s">
        <v>299</v>
      </c>
    </row>
    <row r="1376" spans="1:16">
      <c r="A1376" t="s">
        <v>1253</v>
      </c>
      <c r="B1376">
        <v>6.6799999999999998E-2</v>
      </c>
      <c r="C1376" t="s">
        <v>171</v>
      </c>
      <c r="D1376" t="s">
        <v>169</v>
      </c>
      <c r="E1376" t="s">
        <v>35</v>
      </c>
      <c r="F1376" t="s">
        <v>227</v>
      </c>
      <c r="G1376" t="s">
        <v>26</v>
      </c>
      <c r="H1376">
        <v>2</v>
      </c>
      <c r="I1376">
        <v>-2.7060521984395369</v>
      </c>
      <c r="J1376">
        <v>0.37096867236468872</v>
      </c>
      <c r="L1376" t="s">
        <v>301</v>
      </c>
      <c r="M1376">
        <v>0</v>
      </c>
      <c r="N1376" t="s">
        <v>1254</v>
      </c>
      <c r="O1376" t="s">
        <v>1254</v>
      </c>
      <c r="P1376" t="s">
        <v>332</v>
      </c>
    </row>
    <row r="1377" spans="1:16">
      <c r="A1377" t="s">
        <v>300</v>
      </c>
      <c r="B1377">
        <v>0.89300000000000002</v>
      </c>
      <c r="C1377" t="s">
        <v>171</v>
      </c>
      <c r="D1377" t="s">
        <v>20</v>
      </c>
      <c r="E1377" t="s">
        <v>35</v>
      </c>
      <c r="F1377" t="s">
        <v>227</v>
      </c>
      <c r="G1377" t="s">
        <v>26</v>
      </c>
      <c r="H1377">
        <v>2</v>
      </c>
      <c r="I1377">
        <v>-0.113168698105638</v>
      </c>
      <c r="J1377">
        <v>0.37096867236468872</v>
      </c>
      <c r="L1377" t="s">
        <v>301</v>
      </c>
      <c r="M1377">
        <v>0</v>
      </c>
      <c r="N1377" t="s">
        <v>1260</v>
      </c>
      <c r="O1377" t="s">
        <v>1260</v>
      </c>
      <c r="P1377" t="s">
        <v>303</v>
      </c>
    </row>
    <row r="1378" spans="1:16">
      <c r="A1378" t="s">
        <v>549</v>
      </c>
      <c r="B1378">
        <v>2.22E-8</v>
      </c>
      <c r="C1378" t="s">
        <v>171</v>
      </c>
      <c r="D1378" t="s">
        <v>34</v>
      </c>
      <c r="E1378" t="s">
        <v>7</v>
      </c>
      <c r="F1378" t="s">
        <v>227</v>
      </c>
      <c r="G1378" t="s">
        <v>26</v>
      </c>
      <c r="H1378">
        <v>2</v>
      </c>
      <c r="I1378">
        <v>-17.623173548068181</v>
      </c>
      <c r="J1378">
        <v>0.20273255405408211</v>
      </c>
      <c r="L1378" t="s">
        <v>223</v>
      </c>
      <c r="M1378">
        <v>0</v>
      </c>
      <c r="N1378" t="s">
        <v>550</v>
      </c>
      <c r="O1378" t="s">
        <v>550</v>
      </c>
      <c r="P1378" t="s">
        <v>551</v>
      </c>
    </row>
    <row r="1379" spans="1:16">
      <c r="A1379" t="s">
        <v>552</v>
      </c>
      <c r="B1379">
        <v>1.38</v>
      </c>
      <c r="C1379" t="s">
        <v>171</v>
      </c>
      <c r="D1379" t="s">
        <v>51</v>
      </c>
      <c r="E1379" t="s">
        <v>38</v>
      </c>
      <c r="F1379" t="s">
        <v>227</v>
      </c>
      <c r="G1379" t="s">
        <v>26</v>
      </c>
      <c r="H1379">
        <v>2</v>
      </c>
      <c r="I1379">
        <v>0.32208349916911322</v>
      </c>
      <c r="J1379">
        <v>0</v>
      </c>
      <c r="L1379" t="s">
        <v>502</v>
      </c>
      <c r="M1379">
        <v>0</v>
      </c>
      <c r="N1379" t="s">
        <v>553</v>
      </c>
      <c r="O1379" t="s">
        <v>553</v>
      </c>
      <c r="P1379" t="s">
        <v>554</v>
      </c>
    </row>
    <row r="1380" spans="1:16">
      <c r="A1380" t="s">
        <v>304</v>
      </c>
      <c r="B1380">
        <v>2</v>
      </c>
      <c r="C1380" t="s">
        <v>171</v>
      </c>
      <c r="D1380" t="s">
        <v>155</v>
      </c>
      <c r="E1380" t="s">
        <v>38</v>
      </c>
      <c r="F1380" t="s">
        <v>227</v>
      </c>
      <c r="G1380" t="s">
        <v>26</v>
      </c>
      <c r="H1380">
        <v>2</v>
      </c>
      <c r="I1380">
        <v>0.69314718055994529</v>
      </c>
      <c r="J1380">
        <v>4.7655089902162509E-2</v>
      </c>
      <c r="L1380" t="s">
        <v>505</v>
      </c>
      <c r="M1380">
        <v>0</v>
      </c>
      <c r="N1380" t="s">
        <v>305</v>
      </c>
      <c r="O1380" t="s">
        <v>305</v>
      </c>
      <c r="P1380" t="s">
        <v>306</v>
      </c>
    </row>
    <row r="1381" spans="1:16">
      <c r="A1381" t="s">
        <v>495</v>
      </c>
      <c r="B1381">
        <v>8</v>
      </c>
      <c r="C1381" t="s">
        <v>171</v>
      </c>
      <c r="D1381" t="s">
        <v>155</v>
      </c>
      <c r="E1381" t="s">
        <v>33</v>
      </c>
      <c r="F1381" t="s">
        <v>227</v>
      </c>
      <c r="G1381" t="s">
        <v>26</v>
      </c>
      <c r="H1381">
        <v>2</v>
      </c>
      <c r="I1381">
        <v>2.0794415416798362</v>
      </c>
      <c r="J1381">
        <v>4.7655089902162509E-2</v>
      </c>
      <c r="L1381" t="s">
        <v>505</v>
      </c>
      <c r="M1381">
        <v>0</v>
      </c>
      <c r="N1381" t="s">
        <v>4</v>
      </c>
      <c r="O1381" t="s">
        <v>496</v>
      </c>
      <c r="P1381" t="s">
        <v>556</v>
      </c>
    </row>
    <row r="1383" spans="1:16">
      <c r="A1383" s="1" t="s">
        <v>0</v>
      </c>
      <c r="B1383" s="1" t="s">
        <v>460</v>
      </c>
    </row>
    <row r="1384" spans="1:16">
      <c r="A1384" t="s">
        <v>13</v>
      </c>
      <c r="B1384" t="s">
        <v>328</v>
      </c>
    </row>
    <row r="1385" spans="1:16">
      <c r="A1385" t="s">
        <v>1</v>
      </c>
      <c r="B1385" t="s">
        <v>20</v>
      </c>
    </row>
    <row r="1386" spans="1:16">
      <c r="A1386" t="s">
        <v>2</v>
      </c>
      <c r="B1386">
        <v>1</v>
      </c>
    </row>
    <row r="1387" spans="1:16">
      <c r="A1387" t="s">
        <v>3</v>
      </c>
      <c r="B1387" t="s">
        <v>460</v>
      </c>
    </row>
    <row r="1388" spans="1:16">
      <c r="A1388" t="s">
        <v>5</v>
      </c>
      <c r="B1388" t="s">
        <v>6</v>
      </c>
    </row>
    <row r="1389" spans="1:16">
      <c r="A1389" t="s">
        <v>7</v>
      </c>
      <c r="B1389" t="s">
        <v>7</v>
      </c>
    </row>
    <row r="1390" spans="1:16">
      <c r="A1390" s="1" t="s">
        <v>14</v>
      </c>
    </row>
    <row r="1391" spans="1:16">
      <c r="A1391" t="s">
        <v>15</v>
      </c>
      <c r="B1391" t="s">
        <v>16</v>
      </c>
      <c r="C1391" t="s">
        <v>17</v>
      </c>
      <c r="D1391" t="s">
        <v>1</v>
      </c>
      <c r="E1391" t="s">
        <v>7</v>
      </c>
      <c r="F1391" t="s">
        <v>18</v>
      </c>
      <c r="G1391" t="s">
        <v>5</v>
      </c>
      <c r="H1391" t="s">
        <v>203</v>
      </c>
      <c r="I1391" t="s">
        <v>204</v>
      </c>
      <c r="J1391" t="s">
        <v>206</v>
      </c>
      <c r="K1391" t="s">
        <v>13</v>
      </c>
      <c r="L1391" t="s">
        <v>208</v>
      </c>
      <c r="M1391" t="s">
        <v>3</v>
      </c>
      <c r="N1391" t="s">
        <v>209</v>
      </c>
    </row>
    <row r="1392" spans="1:16">
      <c r="A1392" t="s">
        <v>460</v>
      </c>
      <c r="B1392">
        <v>1</v>
      </c>
      <c r="C1392" t="s">
        <v>1413</v>
      </c>
      <c r="D1392" t="s">
        <v>20</v>
      </c>
      <c r="E1392" t="s">
        <v>7</v>
      </c>
      <c r="F1392" t="s">
        <v>224</v>
      </c>
      <c r="G1392" t="s">
        <v>24</v>
      </c>
      <c r="J1392">
        <v>100</v>
      </c>
      <c r="M1392" t="s">
        <v>460</v>
      </c>
    </row>
    <row r="1393" spans="1:14">
      <c r="A1393" t="s">
        <v>67</v>
      </c>
      <c r="B1393">
        <v>1.5</v>
      </c>
      <c r="C1393" t="s">
        <v>171</v>
      </c>
      <c r="D1393" t="s">
        <v>34</v>
      </c>
      <c r="E1393" t="s">
        <v>38</v>
      </c>
      <c r="F1393" t="s">
        <v>227</v>
      </c>
      <c r="G1393" t="s">
        <v>26</v>
      </c>
      <c r="H1393">
        <v>0</v>
      </c>
      <c r="I1393">
        <v>1.5</v>
      </c>
      <c r="L1393" t="s">
        <v>68</v>
      </c>
      <c r="M1393" t="s">
        <v>68</v>
      </c>
      <c r="N1393" t="s">
        <v>330</v>
      </c>
    </row>
    <row r="1394" spans="1:14">
      <c r="A1394" t="s">
        <v>342</v>
      </c>
      <c r="B1394">
        <v>48.5</v>
      </c>
      <c r="C1394" t="s">
        <v>171</v>
      </c>
      <c r="D1394" t="s">
        <v>34</v>
      </c>
      <c r="E1394" t="s">
        <v>38</v>
      </c>
      <c r="F1394" t="s">
        <v>227</v>
      </c>
      <c r="G1394" t="s">
        <v>26</v>
      </c>
      <c r="H1394">
        <v>0</v>
      </c>
      <c r="I1394">
        <v>48.5</v>
      </c>
      <c r="L1394" t="s">
        <v>343</v>
      </c>
      <c r="M1394" t="s">
        <v>343</v>
      </c>
      <c r="N1394" t="s">
        <v>344</v>
      </c>
    </row>
    <row r="1395" spans="1:14">
      <c r="A1395" t="s">
        <v>139</v>
      </c>
      <c r="B1395">
        <v>48.5</v>
      </c>
      <c r="C1395" t="s">
        <v>171</v>
      </c>
      <c r="D1395" t="s">
        <v>34</v>
      </c>
      <c r="E1395" t="s">
        <v>38</v>
      </c>
      <c r="F1395" t="s">
        <v>227</v>
      </c>
      <c r="G1395" t="s">
        <v>26</v>
      </c>
      <c r="H1395">
        <v>0</v>
      </c>
      <c r="I1395">
        <v>48.5</v>
      </c>
      <c r="L1395" t="s">
        <v>140</v>
      </c>
      <c r="M1395" t="s">
        <v>140</v>
      </c>
      <c r="N1395" t="s">
        <v>345</v>
      </c>
    </row>
    <row r="1396" spans="1:14">
      <c r="A1396" t="s">
        <v>1253</v>
      </c>
      <c r="B1396">
        <v>21.7</v>
      </c>
      <c r="C1396" t="s">
        <v>171</v>
      </c>
      <c r="D1396" t="s">
        <v>169</v>
      </c>
      <c r="E1396" t="s">
        <v>35</v>
      </c>
      <c r="F1396" t="s">
        <v>227</v>
      </c>
      <c r="G1396" t="s">
        <v>26</v>
      </c>
      <c r="H1396">
        <v>0</v>
      </c>
      <c r="I1396">
        <v>21.7</v>
      </c>
      <c r="L1396" t="s">
        <v>1254</v>
      </c>
      <c r="M1396" t="s">
        <v>1254</v>
      </c>
      <c r="N1396" t="s">
        <v>332</v>
      </c>
    </row>
    <row r="1397" spans="1:14">
      <c r="A1397" t="s">
        <v>300</v>
      </c>
      <c r="B1397">
        <v>10.8</v>
      </c>
      <c r="C1397" t="s">
        <v>171</v>
      </c>
      <c r="D1397" t="s">
        <v>20</v>
      </c>
      <c r="E1397" t="s">
        <v>35</v>
      </c>
      <c r="F1397" t="s">
        <v>227</v>
      </c>
      <c r="G1397" t="s">
        <v>26</v>
      </c>
      <c r="H1397">
        <v>0</v>
      </c>
      <c r="I1397">
        <v>10.8</v>
      </c>
      <c r="L1397" t="s">
        <v>302</v>
      </c>
      <c r="M1397" t="s">
        <v>1260</v>
      </c>
      <c r="N1397" t="s">
        <v>303</v>
      </c>
    </row>
    <row r="1398" spans="1:14">
      <c r="A1398" t="s">
        <v>193</v>
      </c>
      <c r="B1398">
        <v>1.5</v>
      </c>
      <c r="C1398" t="s">
        <v>171</v>
      </c>
      <c r="D1398" t="s">
        <v>20</v>
      </c>
      <c r="E1398" t="s">
        <v>38</v>
      </c>
      <c r="F1398" t="s">
        <v>227</v>
      </c>
      <c r="G1398" t="s">
        <v>26</v>
      </c>
      <c r="H1398">
        <v>0</v>
      </c>
      <c r="I1398">
        <v>1.5</v>
      </c>
      <c r="M1398" t="s">
        <v>193</v>
      </c>
      <c r="N1398" t="s">
        <v>336</v>
      </c>
    </row>
    <row r="1400" spans="1:14">
      <c r="A1400" s="1" t="s">
        <v>0</v>
      </c>
      <c r="B1400" s="1" t="s">
        <v>478</v>
      </c>
    </row>
    <row r="1401" spans="1:14">
      <c r="A1401" t="s">
        <v>13</v>
      </c>
      <c r="B1401" t="s">
        <v>328</v>
      </c>
    </row>
    <row r="1402" spans="1:14">
      <c r="A1402" t="s">
        <v>1</v>
      </c>
      <c r="B1402" t="s">
        <v>155</v>
      </c>
    </row>
    <row r="1403" spans="1:14">
      <c r="A1403" t="s">
        <v>2</v>
      </c>
      <c r="B1403">
        <v>1</v>
      </c>
    </row>
    <row r="1404" spans="1:14">
      <c r="A1404" t="s">
        <v>3</v>
      </c>
      <c r="B1404" t="s">
        <v>478</v>
      </c>
    </row>
    <row r="1405" spans="1:14">
      <c r="A1405" t="s">
        <v>5</v>
      </c>
      <c r="B1405" t="s">
        <v>6</v>
      </c>
    </row>
    <row r="1406" spans="1:14">
      <c r="A1406" t="s">
        <v>7</v>
      </c>
      <c r="B1406" t="s">
        <v>7</v>
      </c>
    </row>
    <row r="1407" spans="1:14">
      <c r="A1407" s="1" t="s">
        <v>14</v>
      </c>
    </row>
    <row r="1408" spans="1:14">
      <c r="A1408" t="s">
        <v>15</v>
      </c>
      <c r="B1408" t="s">
        <v>16</v>
      </c>
      <c r="C1408" t="s">
        <v>17</v>
      </c>
      <c r="D1408" t="s">
        <v>1</v>
      </c>
      <c r="E1408" t="s">
        <v>7</v>
      </c>
      <c r="F1408" t="s">
        <v>18</v>
      </c>
      <c r="G1408" t="s">
        <v>5</v>
      </c>
      <c r="H1408" t="s">
        <v>203</v>
      </c>
      <c r="I1408" t="s">
        <v>204</v>
      </c>
      <c r="J1408" t="s">
        <v>206</v>
      </c>
      <c r="K1408" t="s">
        <v>13</v>
      </c>
      <c r="L1408" t="s">
        <v>208</v>
      </c>
      <c r="M1408" t="s">
        <v>3</v>
      </c>
      <c r="N1408" t="s">
        <v>209</v>
      </c>
    </row>
    <row r="1409" spans="1:14">
      <c r="A1409" t="s">
        <v>478</v>
      </c>
      <c r="B1409">
        <v>1</v>
      </c>
      <c r="C1409" t="s">
        <v>1413</v>
      </c>
      <c r="D1409" t="s">
        <v>155</v>
      </c>
      <c r="E1409" t="s">
        <v>7</v>
      </c>
      <c r="F1409" t="s">
        <v>224</v>
      </c>
      <c r="G1409" t="s">
        <v>24</v>
      </c>
      <c r="J1409">
        <v>100</v>
      </c>
      <c r="M1409" t="s">
        <v>478</v>
      </c>
    </row>
    <row r="1410" spans="1:14">
      <c r="A1410" t="s">
        <v>67</v>
      </c>
      <c r="B1410">
        <v>130</v>
      </c>
      <c r="C1410" t="s">
        <v>171</v>
      </c>
      <c r="D1410" t="s">
        <v>34</v>
      </c>
      <c r="E1410" t="s">
        <v>38</v>
      </c>
      <c r="F1410" t="s">
        <v>227</v>
      </c>
      <c r="G1410" t="s">
        <v>26</v>
      </c>
      <c r="H1410">
        <v>0</v>
      </c>
      <c r="I1410">
        <v>130</v>
      </c>
      <c r="L1410" t="s">
        <v>68</v>
      </c>
      <c r="M1410" t="s">
        <v>68</v>
      </c>
      <c r="N1410" t="s">
        <v>330</v>
      </c>
    </row>
    <row r="1411" spans="1:14">
      <c r="A1411" t="s">
        <v>557</v>
      </c>
      <c r="B1411">
        <v>29400</v>
      </c>
      <c r="C1411" t="s">
        <v>171</v>
      </c>
      <c r="D1411" t="s">
        <v>34</v>
      </c>
      <c r="E1411" t="s">
        <v>38</v>
      </c>
      <c r="F1411" t="s">
        <v>227</v>
      </c>
      <c r="G1411" t="s">
        <v>26</v>
      </c>
      <c r="H1411">
        <v>0</v>
      </c>
      <c r="I1411">
        <v>29400</v>
      </c>
      <c r="L1411" t="s">
        <v>558</v>
      </c>
      <c r="M1411" t="s">
        <v>558</v>
      </c>
      <c r="N1411" t="s">
        <v>559</v>
      </c>
    </row>
    <row r="1412" spans="1:14">
      <c r="A1412" t="s">
        <v>82</v>
      </c>
      <c r="B1412">
        <v>144</v>
      </c>
      <c r="C1412" t="s">
        <v>171</v>
      </c>
      <c r="D1412" t="s">
        <v>20</v>
      </c>
      <c r="E1412" t="s">
        <v>38</v>
      </c>
      <c r="F1412" t="s">
        <v>227</v>
      </c>
      <c r="G1412" t="s">
        <v>26</v>
      </c>
      <c r="H1412">
        <v>0</v>
      </c>
      <c r="I1412">
        <v>144</v>
      </c>
      <c r="L1412" t="s">
        <v>83</v>
      </c>
      <c r="M1412" t="s">
        <v>83</v>
      </c>
      <c r="N1412" t="s">
        <v>387</v>
      </c>
    </row>
    <row r="1413" spans="1:14">
      <c r="A1413" t="s">
        <v>388</v>
      </c>
      <c r="B1413">
        <v>960</v>
      </c>
      <c r="C1413" t="s">
        <v>171</v>
      </c>
      <c r="D1413" t="s">
        <v>34</v>
      </c>
      <c r="E1413" t="s">
        <v>38</v>
      </c>
      <c r="F1413" t="s">
        <v>227</v>
      </c>
      <c r="G1413" t="s">
        <v>26</v>
      </c>
      <c r="H1413">
        <v>0</v>
      </c>
      <c r="I1413">
        <v>960</v>
      </c>
      <c r="L1413" t="s">
        <v>389</v>
      </c>
      <c r="M1413" t="s">
        <v>389</v>
      </c>
      <c r="N1413" t="s">
        <v>390</v>
      </c>
    </row>
    <row r="1414" spans="1:14">
      <c r="A1414" t="s">
        <v>80</v>
      </c>
      <c r="B1414">
        <v>3890</v>
      </c>
      <c r="C1414" t="s">
        <v>171</v>
      </c>
      <c r="D1414" t="s">
        <v>34</v>
      </c>
      <c r="E1414" t="s">
        <v>38</v>
      </c>
      <c r="F1414" t="s">
        <v>227</v>
      </c>
      <c r="G1414" t="s">
        <v>26</v>
      </c>
      <c r="H1414">
        <v>0</v>
      </c>
      <c r="I1414">
        <v>3890</v>
      </c>
      <c r="L1414" t="s">
        <v>81</v>
      </c>
      <c r="M1414" t="s">
        <v>81</v>
      </c>
      <c r="N1414" t="s">
        <v>331</v>
      </c>
    </row>
    <row r="1415" spans="1:14">
      <c r="A1415" t="s">
        <v>176</v>
      </c>
      <c r="B1415">
        <v>4600</v>
      </c>
      <c r="C1415" t="s">
        <v>171</v>
      </c>
      <c r="D1415" t="s">
        <v>20</v>
      </c>
      <c r="E1415" t="s">
        <v>38</v>
      </c>
      <c r="F1415" t="s">
        <v>227</v>
      </c>
      <c r="G1415" t="s">
        <v>26</v>
      </c>
      <c r="H1415">
        <v>0</v>
      </c>
      <c r="I1415">
        <v>4600</v>
      </c>
      <c r="L1415" t="s">
        <v>177</v>
      </c>
      <c r="M1415" t="s">
        <v>177</v>
      </c>
      <c r="N1415" t="s">
        <v>560</v>
      </c>
    </row>
    <row r="1416" spans="1:14">
      <c r="A1416" t="s">
        <v>392</v>
      </c>
      <c r="B1416">
        <v>1010</v>
      </c>
      <c r="C1416" t="s">
        <v>171</v>
      </c>
      <c r="D1416" t="s">
        <v>34</v>
      </c>
      <c r="E1416" t="s">
        <v>38</v>
      </c>
      <c r="F1416" t="s">
        <v>227</v>
      </c>
      <c r="G1416" t="s">
        <v>26</v>
      </c>
      <c r="H1416">
        <v>0</v>
      </c>
      <c r="I1416">
        <v>1010</v>
      </c>
      <c r="L1416" t="s">
        <v>393</v>
      </c>
      <c r="M1416" t="s">
        <v>393</v>
      </c>
      <c r="N1416" t="s">
        <v>394</v>
      </c>
    </row>
    <row r="1417" spans="1:14">
      <c r="A1417" t="s">
        <v>1253</v>
      </c>
      <c r="B1417">
        <v>10300</v>
      </c>
      <c r="C1417" t="s">
        <v>171</v>
      </c>
      <c r="D1417" t="s">
        <v>155</v>
      </c>
      <c r="E1417" t="s">
        <v>35</v>
      </c>
      <c r="F1417" t="s">
        <v>227</v>
      </c>
      <c r="G1417" t="s">
        <v>26</v>
      </c>
      <c r="H1417">
        <v>0</v>
      </c>
      <c r="I1417">
        <v>10300</v>
      </c>
      <c r="L1417" t="s">
        <v>1254</v>
      </c>
      <c r="M1417" t="s">
        <v>1254</v>
      </c>
      <c r="N1417" t="s">
        <v>332</v>
      </c>
    </row>
    <row r="1418" spans="1:14">
      <c r="A1418" t="s">
        <v>300</v>
      </c>
      <c r="B1418">
        <v>2010</v>
      </c>
      <c r="C1418" t="s">
        <v>171</v>
      </c>
      <c r="D1418" t="s">
        <v>20</v>
      </c>
      <c r="E1418" t="s">
        <v>35</v>
      </c>
      <c r="F1418" t="s">
        <v>227</v>
      </c>
      <c r="G1418" t="s">
        <v>26</v>
      </c>
      <c r="H1418">
        <v>0</v>
      </c>
      <c r="I1418">
        <v>2010</v>
      </c>
      <c r="L1418" t="s">
        <v>302</v>
      </c>
      <c r="M1418" t="s">
        <v>1260</v>
      </c>
      <c r="N1418" t="s">
        <v>303</v>
      </c>
    </row>
    <row r="1420" spans="1:14">
      <c r="A1420" s="1" t="s">
        <v>0</v>
      </c>
      <c r="B1420" s="1" t="s">
        <v>478</v>
      </c>
    </row>
    <row r="1421" spans="1:14">
      <c r="A1421" t="s">
        <v>13</v>
      </c>
      <c r="B1421" t="s">
        <v>328</v>
      </c>
    </row>
    <row r="1422" spans="1:14">
      <c r="A1422" t="s">
        <v>1</v>
      </c>
      <c r="B1422" t="s">
        <v>20</v>
      </c>
    </row>
    <row r="1423" spans="1:14">
      <c r="A1423" t="s">
        <v>2</v>
      </c>
      <c r="B1423">
        <v>1</v>
      </c>
    </row>
    <row r="1424" spans="1:14">
      <c r="A1424" t="s">
        <v>3</v>
      </c>
      <c r="B1424" t="s">
        <v>478</v>
      </c>
    </row>
    <row r="1425" spans="1:14">
      <c r="A1425" t="s">
        <v>5</v>
      </c>
      <c r="B1425" t="s">
        <v>6</v>
      </c>
    </row>
    <row r="1426" spans="1:14">
      <c r="A1426" t="s">
        <v>7</v>
      </c>
      <c r="B1426" t="s">
        <v>7</v>
      </c>
    </row>
    <row r="1427" spans="1:14">
      <c r="A1427" s="1" t="s">
        <v>14</v>
      </c>
    </row>
    <row r="1428" spans="1:14">
      <c r="A1428" t="s">
        <v>15</v>
      </c>
      <c r="B1428" t="s">
        <v>16</v>
      </c>
      <c r="C1428" t="s">
        <v>17</v>
      </c>
      <c r="D1428" t="s">
        <v>1</v>
      </c>
      <c r="E1428" t="s">
        <v>7</v>
      </c>
      <c r="F1428" t="s">
        <v>18</v>
      </c>
      <c r="G1428" t="s">
        <v>5</v>
      </c>
      <c r="H1428" t="s">
        <v>203</v>
      </c>
      <c r="I1428" t="s">
        <v>204</v>
      </c>
      <c r="J1428" t="s">
        <v>206</v>
      </c>
      <c r="K1428" t="s">
        <v>13</v>
      </c>
      <c r="L1428" t="s">
        <v>208</v>
      </c>
      <c r="M1428" t="s">
        <v>3</v>
      </c>
      <c r="N1428" t="s">
        <v>209</v>
      </c>
    </row>
    <row r="1429" spans="1:14">
      <c r="A1429" t="s">
        <v>478</v>
      </c>
      <c r="B1429">
        <v>1</v>
      </c>
      <c r="C1429" t="s">
        <v>1413</v>
      </c>
      <c r="D1429" t="s">
        <v>20</v>
      </c>
      <c r="E1429" t="s">
        <v>7</v>
      </c>
      <c r="F1429" t="s">
        <v>224</v>
      </c>
      <c r="G1429" t="s">
        <v>24</v>
      </c>
      <c r="J1429">
        <v>100</v>
      </c>
      <c r="M1429" t="s">
        <v>478</v>
      </c>
    </row>
    <row r="1430" spans="1:14">
      <c r="A1430" t="s">
        <v>67</v>
      </c>
      <c r="B1430">
        <v>130</v>
      </c>
      <c r="C1430" t="s">
        <v>171</v>
      </c>
      <c r="D1430" t="s">
        <v>34</v>
      </c>
      <c r="E1430" t="s">
        <v>38</v>
      </c>
      <c r="F1430" t="s">
        <v>227</v>
      </c>
      <c r="G1430" t="s">
        <v>26</v>
      </c>
      <c r="H1430">
        <v>0</v>
      </c>
      <c r="I1430">
        <v>130</v>
      </c>
      <c r="L1430" t="s">
        <v>68</v>
      </c>
      <c r="M1430" t="s">
        <v>68</v>
      </c>
      <c r="N1430" t="s">
        <v>330</v>
      </c>
    </row>
    <row r="1431" spans="1:14">
      <c r="A1431" t="s">
        <v>557</v>
      </c>
      <c r="B1431">
        <v>29400</v>
      </c>
      <c r="C1431" t="s">
        <v>171</v>
      </c>
      <c r="D1431" t="s">
        <v>34</v>
      </c>
      <c r="E1431" t="s">
        <v>38</v>
      </c>
      <c r="F1431" t="s">
        <v>227</v>
      </c>
      <c r="G1431" t="s">
        <v>26</v>
      </c>
      <c r="H1431">
        <v>0</v>
      </c>
      <c r="I1431">
        <v>29400</v>
      </c>
      <c r="L1431" t="s">
        <v>558</v>
      </c>
      <c r="M1431" t="s">
        <v>558</v>
      </c>
      <c r="N1431" t="s">
        <v>559</v>
      </c>
    </row>
    <row r="1432" spans="1:14">
      <c r="A1432" t="s">
        <v>82</v>
      </c>
      <c r="B1432">
        <v>144</v>
      </c>
      <c r="C1432" t="s">
        <v>171</v>
      </c>
      <c r="D1432" t="s">
        <v>20</v>
      </c>
      <c r="E1432" t="s">
        <v>38</v>
      </c>
      <c r="F1432" t="s">
        <v>227</v>
      </c>
      <c r="G1432" t="s">
        <v>26</v>
      </c>
      <c r="H1432">
        <v>0</v>
      </c>
      <c r="I1432">
        <v>144</v>
      </c>
      <c r="L1432" t="s">
        <v>83</v>
      </c>
      <c r="M1432" t="s">
        <v>83</v>
      </c>
      <c r="N1432" t="s">
        <v>387</v>
      </c>
    </row>
    <row r="1433" spans="1:14">
      <c r="A1433" t="s">
        <v>388</v>
      </c>
      <c r="B1433">
        <v>960</v>
      </c>
      <c r="C1433" t="s">
        <v>171</v>
      </c>
      <c r="D1433" t="s">
        <v>34</v>
      </c>
      <c r="E1433" t="s">
        <v>38</v>
      </c>
      <c r="F1433" t="s">
        <v>227</v>
      </c>
      <c r="G1433" t="s">
        <v>26</v>
      </c>
      <c r="H1433">
        <v>0</v>
      </c>
      <c r="I1433">
        <v>960</v>
      </c>
      <c r="L1433" t="s">
        <v>389</v>
      </c>
      <c r="M1433" t="s">
        <v>389</v>
      </c>
      <c r="N1433" t="s">
        <v>390</v>
      </c>
    </row>
    <row r="1434" spans="1:14">
      <c r="A1434" t="s">
        <v>80</v>
      </c>
      <c r="B1434">
        <v>3890</v>
      </c>
      <c r="C1434" t="s">
        <v>171</v>
      </c>
      <c r="D1434" t="s">
        <v>34</v>
      </c>
      <c r="E1434" t="s">
        <v>38</v>
      </c>
      <c r="F1434" t="s">
        <v>227</v>
      </c>
      <c r="G1434" t="s">
        <v>26</v>
      </c>
      <c r="H1434">
        <v>0</v>
      </c>
      <c r="I1434">
        <v>3890</v>
      </c>
      <c r="L1434" t="s">
        <v>81</v>
      </c>
      <c r="M1434" t="s">
        <v>81</v>
      </c>
      <c r="N1434" t="s">
        <v>331</v>
      </c>
    </row>
    <row r="1435" spans="1:14">
      <c r="A1435" t="s">
        <v>176</v>
      </c>
      <c r="B1435">
        <v>4600</v>
      </c>
      <c r="C1435" t="s">
        <v>171</v>
      </c>
      <c r="D1435" t="s">
        <v>20</v>
      </c>
      <c r="E1435" t="s">
        <v>38</v>
      </c>
      <c r="F1435" t="s">
        <v>227</v>
      </c>
      <c r="G1435" t="s">
        <v>26</v>
      </c>
      <c r="H1435">
        <v>0</v>
      </c>
      <c r="I1435">
        <v>4600</v>
      </c>
      <c r="L1435" t="s">
        <v>177</v>
      </c>
      <c r="M1435" t="s">
        <v>177</v>
      </c>
      <c r="N1435" t="s">
        <v>560</v>
      </c>
    </row>
    <row r="1436" spans="1:14">
      <c r="A1436" t="s">
        <v>392</v>
      </c>
      <c r="B1436">
        <v>1010</v>
      </c>
      <c r="C1436" t="s">
        <v>171</v>
      </c>
      <c r="D1436" t="s">
        <v>34</v>
      </c>
      <c r="E1436" t="s">
        <v>38</v>
      </c>
      <c r="F1436" t="s">
        <v>227</v>
      </c>
      <c r="G1436" t="s">
        <v>26</v>
      </c>
      <c r="H1436">
        <v>0</v>
      </c>
      <c r="I1436">
        <v>1010</v>
      </c>
      <c r="L1436" t="s">
        <v>393</v>
      </c>
      <c r="M1436" t="s">
        <v>393</v>
      </c>
      <c r="N1436" t="s">
        <v>394</v>
      </c>
    </row>
    <row r="1437" spans="1:14">
      <c r="A1437" t="s">
        <v>1253</v>
      </c>
      <c r="B1437">
        <v>10300</v>
      </c>
      <c r="C1437" t="s">
        <v>171</v>
      </c>
      <c r="D1437" t="s">
        <v>169</v>
      </c>
      <c r="E1437" t="s">
        <v>35</v>
      </c>
      <c r="F1437" t="s">
        <v>227</v>
      </c>
      <c r="G1437" t="s">
        <v>26</v>
      </c>
      <c r="H1437">
        <v>0</v>
      </c>
      <c r="I1437">
        <v>10300</v>
      </c>
      <c r="L1437" t="s">
        <v>1254</v>
      </c>
      <c r="M1437" t="s">
        <v>1254</v>
      </c>
      <c r="N1437" t="s">
        <v>332</v>
      </c>
    </row>
    <row r="1438" spans="1:14">
      <c r="A1438" t="s">
        <v>300</v>
      </c>
      <c r="B1438">
        <v>4010</v>
      </c>
      <c r="C1438" t="s">
        <v>171</v>
      </c>
      <c r="D1438" t="s">
        <v>20</v>
      </c>
      <c r="E1438" t="s">
        <v>35</v>
      </c>
      <c r="F1438" t="s">
        <v>227</v>
      </c>
      <c r="G1438" t="s">
        <v>26</v>
      </c>
      <c r="H1438">
        <v>0</v>
      </c>
      <c r="I1438">
        <v>4010</v>
      </c>
      <c r="L1438" t="s">
        <v>302</v>
      </c>
      <c r="M1438" t="s">
        <v>1260</v>
      </c>
      <c r="N1438" t="s">
        <v>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2C0B-02B3-4F3E-B694-E8050EE90E8D}">
  <dimension ref="A1:R94"/>
  <sheetViews>
    <sheetView topLeftCell="A13" workbookViewId="0">
      <selection activeCell="C23" sqref="C23"/>
    </sheetView>
  </sheetViews>
  <sheetFormatPr defaultColWidth="10.58203125" defaultRowHeight="15.5"/>
  <cols>
    <col min="1" max="1" width="27.5" customWidth="1"/>
  </cols>
  <sheetData>
    <row r="1" spans="1:9">
      <c r="A1" s="1" t="s">
        <v>0</v>
      </c>
      <c r="B1" s="1" t="s">
        <v>561</v>
      </c>
    </row>
    <row r="2" spans="1:9">
      <c r="A2" t="s">
        <v>13</v>
      </c>
      <c r="B2" t="s">
        <v>562</v>
      </c>
    </row>
    <row r="3" spans="1:9">
      <c r="A3" t="s">
        <v>1</v>
      </c>
      <c r="B3" t="s">
        <v>194</v>
      </c>
    </row>
    <row r="4" spans="1:9">
      <c r="A4" t="s">
        <v>2</v>
      </c>
      <c r="B4">
        <v>1</v>
      </c>
    </row>
    <row r="5" spans="1:9">
      <c r="A5" t="s">
        <v>3</v>
      </c>
      <c r="B5" t="s">
        <v>159</v>
      </c>
    </row>
    <row r="6" spans="1:9">
      <c r="A6" t="s">
        <v>5</v>
      </c>
      <c r="B6" t="s">
        <v>6</v>
      </c>
    </row>
    <row r="7" spans="1:9">
      <c r="A7" t="s">
        <v>7</v>
      </c>
      <c r="B7" t="s">
        <v>8</v>
      </c>
    </row>
    <row r="8" spans="1:9">
      <c r="A8" s="1" t="s">
        <v>14</v>
      </c>
    </row>
    <row r="9" spans="1:9">
      <c r="A9" t="s">
        <v>15</v>
      </c>
      <c r="B9" t="s">
        <v>16</v>
      </c>
      <c r="C9" t="s">
        <v>17</v>
      </c>
      <c r="D9" t="s">
        <v>1</v>
      </c>
      <c r="E9" t="s">
        <v>7</v>
      </c>
      <c r="F9" t="s">
        <v>18</v>
      </c>
      <c r="G9" t="s">
        <v>5</v>
      </c>
      <c r="H9" t="s">
        <v>13</v>
      </c>
      <c r="I9" t="s">
        <v>3</v>
      </c>
    </row>
    <row r="10" spans="1:9">
      <c r="A10" t="s">
        <v>561</v>
      </c>
      <c r="B10">
        <v>1</v>
      </c>
      <c r="C10" t="s">
        <v>1413</v>
      </c>
      <c r="D10" t="s">
        <v>194</v>
      </c>
      <c r="E10" t="s">
        <v>8</v>
      </c>
      <c r="G10" t="s">
        <v>24</v>
      </c>
      <c r="I10" t="s">
        <v>159</v>
      </c>
    </row>
    <row r="11" spans="1:9">
      <c r="A11" t="s">
        <v>304</v>
      </c>
      <c r="B11">
        <v>3.8589038560411359</v>
      </c>
      <c r="C11" t="s">
        <v>171</v>
      </c>
      <c r="D11" t="s">
        <v>194</v>
      </c>
      <c r="E11" t="s">
        <v>38</v>
      </c>
      <c r="G11" t="s">
        <v>26</v>
      </c>
      <c r="I11" t="s">
        <v>305</v>
      </c>
    </row>
    <row r="12" spans="1:9">
      <c r="A12" t="s">
        <v>267</v>
      </c>
      <c r="B12">
        <v>5.0319999999999998E-4</v>
      </c>
      <c r="C12" t="s">
        <v>171</v>
      </c>
      <c r="D12" t="s">
        <v>34</v>
      </c>
      <c r="E12" t="s">
        <v>33</v>
      </c>
      <c r="G12" t="s">
        <v>26</v>
      </c>
      <c r="I12" t="s">
        <v>268</v>
      </c>
    </row>
    <row r="13" spans="1:9">
      <c r="A13" t="s">
        <v>281</v>
      </c>
      <c r="B13" s="5">
        <v>8.3912000000000006E-5</v>
      </c>
      <c r="C13" t="s">
        <v>171</v>
      </c>
      <c r="D13" t="s">
        <v>20</v>
      </c>
      <c r="E13" t="s">
        <v>38</v>
      </c>
      <c r="G13" t="s">
        <v>26</v>
      </c>
      <c r="I13" t="s">
        <v>282</v>
      </c>
    </row>
    <row r="14" spans="1:9">
      <c r="A14" t="s">
        <v>242</v>
      </c>
      <c r="B14" s="5">
        <v>3.5496E-5</v>
      </c>
      <c r="C14" t="s">
        <v>171</v>
      </c>
      <c r="D14" t="s">
        <v>20</v>
      </c>
      <c r="E14" t="s">
        <v>38</v>
      </c>
      <c r="G14" t="s">
        <v>26</v>
      </c>
      <c r="I14" t="s">
        <v>244</v>
      </c>
    </row>
    <row r="15" spans="1:9">
      <c r="A15" t="s">
        <v>295</v>
      </c>
      <c r="B15" s="5">
        <v>2.3528000000000002E-5</v>
      </c>
      <c r="C15" t="s">
        <v>171</v>
      </c>
      <c r="D15" t="s">
        <v>20</v>
      </c>
      <c r="E15" t="s">
        <v>38</v>
      </c>
      <c r="G15" t="s">
        <v>26</v>
      </c>
      <c r="I15" t="s">
        <v>296</v>
      </c>
    </row>
    <row r="16" spans="1:9">
      <c r="A16" t="s">
        <v>287</v>
      </c>
      <c r="B16" s="5">
        <v>2.2712000000000002E-5</v>
      </c>
      <c r="C16" t="s">
        <v>171</v>
      </c>
      <c r="D16" t="s">
        <v>20</v>
      </c>
      <c r="E16" t="s">
        <v>38</v>
      </c>
      <c r="G16" t="s">
        <v>26</v>
      </c>
      <c r="I16" t="s">
        <v>288</v>
      </c>
    </row>
    <row r="17" spans="1:9">
      <c r="A17" t="s">
        <v>1255</v>
      </c>
      <c r="B17" s="5">
        <v>1.4008E-5</v>
      </c>
      <c r="C17" t="s">
        <v>171</v>
      </c>
      <c r="D17" t="s">
        <v>20</v>
      </c>
      <c r="E17" t="s">
        <v>38</v>
      </c>
      <c r="G17" t="s">
        <v>26</v>
      </c>
      <c r="I17" t="s">
        <v>1256</v>
      </c>
    </row>
    <row r="18" spans="1:9">
      <c r="A18" t="s">
        <v>270</v>
      </c>
      <c r="B18" s="5">
        <v>5.9432000000000001E-6</v>
      </c>
      <c r="C18" t="s">
        <v>171</v>
      </c>
      <c r="D18" t="s">
        <v>20</v>
      </c>
      <c r="E18" t="s">
        <v>38</v>
      </c>
      <c r="G18" t="s">
        <v>26</v>
      </c>
      <c r="I18" t="s">
        <v>271</v>
      </c>
    </row>
    <row r="19" spans="1:9">
      <c r="A19" t="s">
        <v>563</v>
      </c>
      <c r="B19" s="5">
        <v>3.3456000000000006E-6</v>
      </c>
      <c r="C19" t="s">
        <v>171</v>
      </c>
      <c r="D19" t="s">
        <v>34</v>
      </c>
      <c r="E19" t="s">
        <v>38</v>
      </c>
      <c r="G19" t="s">
        <v>26</v>
      </c>
      <c r="I19" t="s">
        <v>564</v>
      </c>
    </row>
    <row r="20" spans="1:9">
      <c r="A20" t="s">
        <v>262</v>
      </c>
      <c r="B20" s="5">
        <v>3.1824000000000002E-6</v>
      </c>
      <c r="C20" t="s">
        <v>171</v>
      </c>
      <c r="D20" t="s">
        <v>34</v>
      </c>
      <c r="E20" t="s">
        <v>38</v>
      </c>
      <c r="G20" t="s">
        <v>26</v>
      </c>
      <c r="I20" t="s">
        <v>263</v>
      </c>
    </row>
    <row r="21" spans="1:9">
      <c r="A21" t="s">
        <v>275</v>
      </c>
      <c r="B21" s="5">
        <v>2.2031999999999999E-6</v>
      </c>
      <c r="C21" t="s">
        <v>171</v>
      </c>
      <c r="D21" t="s">
        <v>20</v>
      </c>
      <c r="E21" t="s">
        <v>38</v>
      </c>
      <c r="G21" t="s">
        <v>26</v>
      </c>
      <c r="I21" t="s">
        <v>276</v>
      </c>
    </row>
    <row r="22" spans="1:9">
      <c r="A22" t="s">
        <v>162</v>
      </c>
      <c r="B22" s="5">
        <v>2.176E-6</v>
      </c>
      <c r="C22" t="s">
        <v>171</v>
      </c>
      <c r="D22" t="s">
        <v>34</v>
      </c>
      <c r="E22" t="s">
        <v>38</v>
      </c>
      <c r="G22" t="s">
        <v>26</v>
      </c>
      <c r="I22" t="s">
        <v>163</v>
      </c>
    </row>
    <row r="23" spans="1:9">
      <c r="A23" t="s">
        <v>183</v>
      </c>
      <c r="B23" s="5">
        <v>1.8768E-6</v>
      </c>
      <c r="C23" t="s">
        <v>171</v>
      </c>
      <c r="D23" t="s">
        <v>34</v>
      </c>
      <c r="E23" t="s">
        <v>38</v>
      </c>
      <c r="G23" t="s">
        <v>26</v>
      </c>
      <c r="I23" t="s">
        <v>184</v>
      </c>
    </row>
    <row r="24" spans="1:9">
      <c r="A24" t="s">
        <v>259</v>
      </c>
      <c r="B24" s="5">
        <v>1.2498400000000001E-6</v>
      </c>
      <c r="C24" t="s">
        <v>171</v>
      </c>
      <c r="D24" t="s">
        <v>155</v>
      </c>
      <c r="E24" t="s">
        <v>38</v>
      </c>
      <c r="G24" t="s">
        <v>26</v>
      </c>
      <c r="I24" t="s">
        <v>260</v>
      </c>
    </row>
    <row r="25" spans="1:9">
      <c r="A25" t="s">
        <v>565</v>
      </c>
      <c r="B25" s="5">
        <v>1.2240000000000001E-6</v>
      </c>
      <c r="C25" t="s">
        <v>171</v>
      </c>
      <c r="D25" t="s">
        <v>155</v>
      </c>
      <c r="E25" t="s">
        <v>38</v>
      </c>
      <c r="G25" t="s">
        <v>26</v>
      </c>
      <c r="I25" t="s">
        <v>566</v>
      </c>
    </row>
    <row r="26" spans="1:9">
      <c r="A26" t="s">
        <v>567</v>
      </c>
      <c r="B26" s="5">
        <v>1.0485600000000002E-6</v>
      </c>
      <c r="C26" t="s">
        <v>171</v>
      </c>
      <c r="D26" t="s">
        <v>155</v>
      </c>
      <c r="E26" t="s">
        <v>38</v>
      </c>
      <c r="G26" t="s">
        <v>26</v>
      </c>
      <c r="I26" t="s">
        <v>568</v>
      </c>
    </row>
    <row r="27" spans="1:9">
      <c r="A27" t="s">
        <v>290</v>
      </c>
      <c r="B27" s="5">
        <v>8.7448000000000014E-7</v>
      </c>
      <c r="C27" t="s">
        <v>171</v>
      </c>
      <c r="D27" t="s">
        <v>20</v>
      </c>
      <c r="E27" t="s">
        <v>38</v>
      </c>
      <c r="G27" t="s">
        <v>26</v>
      </c>
      <c r="I27" t="s">
        <v>291</v>
      </c>
    </row>
    <row r="28" spans="1:9">
      <c r="A28" t="s">
        <v>293</v>
      </c>
      <c r="B28" s="5">
        <v>6.3920000000000006E-7</v>
      </c>
      <c r="C28" t="s">
        <v>171</v>
      </c>
      <c r="D28" t="s">
        <v>34</v>
      </c>
      <c r="E28" t="s">
        <v>38</v>
      </c>
      <c r="G28" t="s">
        <v>26</v>
      </c>
      <c r="I28" t="s">
        <v>189</v>
      </c>
    </row>
    <row r="29" spans="1:9">
      <c r="A29" t="s">
        <v>250</v>
      </c>
      <c r="B29" s="5">
        <v>2.2712000000000001E-7</v>
      </c>
      <c r="C29" t="s">
        <v>171</v>
      </c>
      <c r="D29" t="s">
        <v>20</v>
      </c>
      <c r="E29" t="s">
        <v>38</v>
      </c>
      <c r="G29" t="s">
        <v>26</v>
      </c>
      <c r="I29" t="s">
        <v>251</v>
      </c>
    </row>
    <row r="30" spans="1:9">
      <c r="A30" t="s">
        <v>253</v>
      </c>
      <c r="B30" s="5">
        <v>1.7544000000000001E-7</v>
      </c>
      <c r="C30" t="s">
        <v>171</v>
      </c>
      <c r="D30" t="s">
        <v>34</v>
      </c>
      <c r="E30" t="s">
        <v>38</v>
      </c>
      <c r="G30" t="s">
        <v>26</v>
      </c>
      <c r="I30" t="s">
        <v>254</v>
      </c>
    </row>
    <row r="31" spans="1:9">
      <c r="A31" t="s">
        <v>569</v>
      </c>
      <c r="B31" s="5">
        <v>8.7448000000000003E-8</v>
      </c>
      <c r="C31" t="s">
        <v>171</v>
      </c>
      <c r="D31" t="s">
        <v>34</v>
      </c>
      <c r="E31" t="s">
        <v>38</v>
      </c>
      <c r="G31" t="s">
        <v>26</v>
      </c>
      <c r="I31" t="s">
        <v>234</v>
      </c>
    </row>
    <row r="32" spans="1:9">
      <c r="A32" t="s">
        <v>256</v>
      </c>
      <c r="B32" s="5">
        <v>8.7448000000000003E-8</v>
      </c>
      <c r="C32" t="s">
        <v>171</v>
      </c>
      <c r="D32" t="s">
        <v>20</v>
      </c>
      <c r="E32" t="s">
        <v>38</v>
      </c>
      <c r="G32" t="s">
        <v>26</v>
      </c>
      <c r="I32" t="s">
        <v>257</v>
      </c>
    </row>
    <row r="33" spans="1:18">
      <c r="A33" t="s">
        <v>239</v>
      </c>
      <c r="B33" s="5">
        <v>8.7448000000000003E-8</v>
      </c>
      <c r="C33" t="s">
        <v>171</v>
      </c>
      <c r="D33" t="s">
        <v>20</v>
      </c>
      <c r="E33" t="s">
        <v>38</v>
      </c>
      <c r="G33" t="s">
        <v>26</v>
      </c>
      <c r="I33" t="s">
        <v>240</v>
      </c>
    </row>
    <row r="34" spans="1:18">
      <c r="A34" t="s">
        <v>236</v>
      </c>
      <c r="B34" s="5">
        <v>4.8960000000000003E-8</v>
      </c>
      <c r="C34" t="s">
        <v>171</v>
      </c>
      <c r="D34" t="s">
        <v>20</v>
      </c>
      <c r="E34" t="s">
        <v>38</v>
      </c>
      <c r="G34" t="s">
        <v>26</v>
      </c>
      <c r="I34" t="s">
        <v>237</v>
      </c>
    </row>
    <row r="35" spans="1:18">
      <c r="A35" t="s">
        <v>1004</v>
      </c>
      <c r="B35" s="5">
        <v>1.32464E-8</v>
      </c>
      <c r="C35" t="s">
        <v>171</v>
      </c>
      <c r="D35" t="s">
        <v>155</v>
      </c>
      <c r="E35" t="s">
        <v>119</v>
      </c>
      <c r="G35" t="s">
        <v>26</v>
      </c>
      <c r="I35" t="s">
        <v>1003</v>
      </c>
    </row>
    <row r="36" spans="1:18">
      <c r="A36" t="s">
        <v>570</v>
      </c>
      <c r="B36" s="5">
        <v>2.1139861322509725E-12</v>
      </c>
      <c r="C36" t="s">
        <v>171</v>
      </c>
      <c r="D36" t="s">
        <v>155</v>
      </c>
      <c r="E36" t="s">
        <v>7</v>
      </c>
      <c r="G36" t="s">
        <v>26</v>
      </c>
      <c r="I36" t="s">
        <v>571</v>
      </c>
      <c r="P36" s="5"/>
      <c r="R36" s="5"/>
    </row>
    <row r="37" spans="1:18">
      <c r="A37" t="s">
        <v>440</v>
      </c>
      <c r="B37" s="5">
        <f>-0.0000000018032*(1.2/0.55)</f>
        <v>-3.9342545454545449E-9</v>
      </c>
      <c r="C37" t="s">
        <v>171</v>
      </c>
      <c r="D37" t="s">
        <v>34</v>
      </c>
      <c r="E37" t="s">
        <v>119</v>
      </c>
      <c r="G37" t="s">
        <v>26</v>
      </c>
      <c r="I37" t="s">
        <v>314</v>
      </c>
    </row>
    <row r="38" spans="1:18">
      <c r="A38" t="s">
        <v>572</v>
      </c>
      <c r="B38" s="5">
        <f>-0.0000000284*(1.2/0.55)</f>
        <v>-6.1963636363636354E-8</v>
      </c>
      <c r="C38" t="s">
        <v>171</v>
      </c>
      <c r="D38" t="s">
        <v>34</v>
      </c>
      <c r="E38" t="s">
        <v>119</v>
      </c>
      <c r="G38" t="s">
        <v>26</v>
      </c>
      <c r="I38" t="s">
        <v>311</v>
      </c>
    </row>
    <row r="39" spans="1:18">
      <c r="A39" t="s">
        <v>573</v>
      </c>
      <c r="B39" s="5">
        <v>-1.3192000000000002E-6</v>
      </c>
      <c r="C39" t="s">
        <v>171</v>
      </c>
      <c r="D39" t="s">
        <v>155</v>
      </c>
      <c r="E39" t="s">
        <v>38</v>
      </c>
      <c r="G39" t="s">
        <v>26</v>
      </c>
      <c r="I39" t="s">
        <v>308</v>
      </c>
    </row>
    <row r="40" spans="1:18">
      <c r="A40" t="s">
        <v>574</v>
      </c>
      <c r="B40" s="5">
        <v>-2.2168000000000001E-6</v>
      </c>
      <c r="C40" t="s">
        <v>171</v>
      </c>
      <c r="D40" t="s">
        <v>155</v>
      </c>
      <c r="E40" t="s">
        <v>38</v>
      </c>
      <c r="G40" t="s">
        <v>26</v>
      </c>
      <c r="I40" t="s">
        <v>575</v>
      </c>
    </row>
    <row r="41" spans="1:18">
      <c r="A41" t="s">
        <v>576</v>
      </c>
      <c r="B41" s="5">
        <v>-2.9784000000000006E-6</v>
      </c>
      <c r="C41" t="s">
        <v>171</v>
      </c>
      <c r="D41" t="s">
        <v>155</v>
      </c>
      <c r="E41" t="s">
        <v>38</v>
      </c>
      <c r="G41" t="s">
        <v>26</v>
      </c>
      <c r="I41" t="s">
        <v>577</v>
      </c>
    </row>
    <row r="42" spans="1:18">
      <c r="A42" t="s">
        <v>578</v>
      </c>
      <c r="B42" s="5">
        <f>-0.000002464*(11/6.4)</f>
        <v>-4.2350000000000001E-6</v>
      </c>
      <c r="C42" t="s">
        <v>171</v>
      </c>
      <c r="D42" t="s">
        <v>34</v>
      </c>
      <c r="E42" t="s">
        <v>38</v>
      </c>
      <c r="G42" t="s">
        <v>26</v>
      </c>
      <c r="I42" t="s">
        <v>320</v>
      </c>
    </row>
    <row r="43" spans="1:18">
      <c r="A43" t="s">
        <v>210</v>
      </c>
      <c r="B43" s="5">
        <v>7.303200000000001E-9</v>
      </c>
      <c r="C43" t="s">
        <v>172</v>
      </c>
      <c r="E43" t="s">
        <v>211</v>
      </c>
      <c r="F43" t="s">
        <v>212</v>
      </c>
      <c r="G43" t="s">
        <v>126</v>
      </c>
    </row>
    <row r="44" spans="1:18">
      <c r="A44" t="s">
        <v>579</v>
      </c>
      <c r="B44" s="5">
        <v>4.3112000000000001E-10</v>
      </c>
      <c r="C44" t="s">
        <v>172</v>
      </c>
      <c r="E44" t="s">
        <v>211</v>
      </c>
      <c r="F44" t="s">
        <v>212</v>
      </c>
      <c r="G44" t="s">
        <v>126</v>
      </c>
    </row>
    <row r="45" spans="1:18">
      <c r="A45" t="s">
        <v>580</v>
      </c>
      <c r="B45" s="5">
        <v>4.2568000000000004E-9</v>
      </c>
      <c r="C45" t="s">
        <v>172</v>
      </c>
      <c r="E45" t="s">
        <v>211</v>
      </c>
      <c r="F45" t="s">
        <v>212</v>
      </c>
      <c r="G45" t="s">
        <v>126</v>
      </c>
    </row>
    <row r="46" spans="1:18">
      <c r="A46" t="s">
        <v>581</v>
      </c>
      <c r="B46" s="5">
        <v>2.2304000000000002E-8</v>
      </c>
      <c r="C46" t="s">
        <v>172</v>
      </c>
      <c r="E46" t="s">
        <v>211</v>
      </c>
      <c r="F46" t="s">
        <v>212</v>
      </c>
      <c r="G46" t="s">
        <v>126</v>
      </c>
    </row>
    <row r="47" spans="1:18">
      <c r="A47" t="s">
        <v>582</v>
      </c>
      <c r="B47" s="5">
        <v>6.5552000000000004E-7</v>
      </c>
      <c r="C47" t="s">
        <v>172</v>
      </c>
      <c r="E47" t="s">
        <v>211</v>
      </c>
      <c r="F47" t="s">
        <v>217</v>
      </c>
      <c r="G47" t="s">
        <v>126</v>
      </c>
    </row>
    <row r="48" spans="1:18">
      <c r="A48" t="s">
        <v>583</v>
      </c>
      <c r="B48" s="5">
        <v>1.2294400000000001E-6</v>
      </c>
      <c r="C48" t="s">
        <v>172</v>
      </c>
      <c r="E48" t="s">
        <v>211</v>
      </c>
      <c r="F48" t="s">
        <v>217</v>
      </c>
      <c r="G48" t="s">
        <v>126</v>
      </c>
    </row>
    <row r="49" spans="1:7">
      <c r="A49" t="s">
        <v>584</v>
      </c>
      <c r="B49" s="5">
        <v>5.6576000000000011E-7</v>
      </c>
      <c r="C49" t="s">
        <v>172</v>
      </c>
      <c r="E49" t="s">
        <v>211</v>
      </c>
      <c r="F49" t="s">
        <v>217</v>
      </c>
      <c r="G49" t="s">
        <v>126</v>
      </c>
    </row>
    <row r="50" spans="1:7">
      <c r="A50" t="s">
        <v>584</v>
      </c>
      <c r="B50" s="5">
        <v>2.4752E-6</v>
      </c>
      <c r="C50" t="s">
        <v>172</v>
      </c>
      <c r="E50" t="s">
        <v>211</v>
      </c>
      <c r="F50" t="s">
        <v>212</v>
      </c>
      <c r="G50" t="s">
        <v>126</v>
      </c>
    </row>
    <row r="51" spans="1:7">
      <c r="A51" t="s">
        <v>585</v>
      </c>
      <c r="B51" s="5">
        <v>6.4600000000000004E-10</v>
      </c>
      <c r="C51" t="s">
        <v>172</v>
      </c>
      <c r="E51" t="s">
        <v>211</v>
      </c>
      <c r="F51" t="s">
        <v>212</v>
      </c>
      <c r="G51" t="s">
        <v>126</v>
      </c>
    </row>
    <row r="52" spans="1:7">
      <c r="A52" t="s">
        <v>586</v>
      </c>
      <c r="B52" s="5">
        <v>2.1352000000000003E-6</v>
      </c>
      <c r="C52" t="s">
        <v>172</v>
      </c>
      <c r="E52" t="s">
        <v>211</v>
      </c>
      <c r="F52" t="s">
        <v>217</v>
      </c>
      <c r="G52" t="s">
        <v>126</v>
      </c>
    </row>
    <row r="53" spans="1:7">
      <c r="A53" t="s">
        <v>218</v>
      </c>
      <c r="B53" s="5">
        <v>1.11656E-5</v>
      </c>
      <c r="C53" t="s">
        <v>172</v>
      </c>
      <c r="E53" t="s">
        <v>211</v>
      </c>
      <c r="F53" t="s">
        <v>217</v>
      </c>
      <c r="G53" t="s">
        <v>126</v>
      </c>
    </row>
    <row r="54" spans="1:7">
      <c r="A54" t="s">
        <v>587</v>
      </c>
      <c r="B54" s="5">
        <v>2.0400000000000004E-6</v>
      </c>
      <c r="C54" t="s">
        <v>172</v>
      </c>
      <c r="E54" t="s">
        <v>211</v>
      </c>
      <c r="F54" t="s">
        <v>217</v>
      </c>
      <c r="G54" t="s">
        <v>126</v>
      </c>
    </row>
    <row r="55" spans="1:7">
      <c r="A55" t="s">
        <v>588</v>
      </c>
      <c r="B55" s="5">
        <v>1.5232000000000002E-10</v>
      </c>
      <c r="C55" t="s">
        <v>172</v>
      </c>
      <c r="E55" t="s">
        <v>211</v>
      </c>
      <c r="F55" t="s">
        <v>212</v>
      </c>
      <c r="G55" t="s">
        <v>126</v>
      </c>
    </row>
    <row r="56" spans="1:7">
      <c r="A56" t="s">
        <v>589</v>
      </c>
      <c r="B56" s="5">
        <v>3.5768000000000006E-7</v>
      </c>
      <c r="C56" t="s">
        <v>172</v>
      </c>
      <c r="E56" t="s">
        <v>211</v>
      </c>
      <c r="F56" t="s">
        <v>217</v>
      </c>
      <c r="G56" t="s">
        <v>126</v>
      </c>
    </row>
    <row r="57" spans="1:7">
      <c r="A57" t="s">
        <v>219</v>
      </c>
      <c r="B57">
        <v>0.35224000000000005</v>
      </c>
      <c r="C57" t="s">
        <v>172</v>
      </c>
      <c r="E57" t="s">
        <v>211</v>
      </c>
      <c r="F57" t="s">
        <v>212</v>
      </c>
      <c r="G57" t="s">
        <v>126</v>
      </c>
    </row>
    <row r="58" spans="1:7">
      <c r="A58" t="s">
        <v>427</v>
      </c>
      <c r="B58" s="5">
        <v>4.1071999999999999E-8</v>
      </c>
      <c r="C58" t="s">
        <v>172</v>
      </c>
      <c r="E58" t="s">
        <v>211</v>
      </c>
      <c r="F58" t="s">
        <v>217</v>
      </c>
      <c r="G58" t="s">
        <v>126</v>
      </c>
    </row>
    <row r="59" spans="1:7">
      <c r="A59" t="s">
        <v>590</v>
      </c>
      <c r="B59" s="5">
        <v>1.1451200000000001E-7</v>
      </c>
      <c r="C59" t="s">
        <v>172</v>
      </c>
      <c r="E59" t="s">
        <v>211</v>
      </c>
      <c r="F59" t="s">
        <v>217</v>
      </c>
      <c r="G59" t="s">
        <v>126</v>
      </c>
    </row>
    <row r="60" spans="1:7">
      <c r="A60" t="s">
        <v>591</v>
      </c>
      <c r="B60" s="5">
        <v>9.9007999999999996E-9</v>
      </c>
      <c r="C60" t="s">
        <v>172</v>
      </c>
      <c r="E60" t="s">
        <v>211</v>
      </c>
      <c r="F60" t="s">
        <v>212</v>
      </c>
      <c r="G60" t="s">
        <v>126</v>
      </c>
    </row>
    <row r="61" spans="1:7">
      <c r="A61" t="s">
        <v>592</v>
      </c>
      <c r="B61" s="5">
        <v>3.8216000000000008E-6</v>
      </c>
      <c r="C61" t="s">
        <v>172</v>
      </c>
      <c r="E61" t="s">
        <v>211</v>
      </c>
      <c r="F61" t="s">
        <v>217</v>
      </c>
      <c r="G61" t="s">
        <v>126</v>
      </c>
    </row>
    <row r="62" spans="1:7">
      <c r="A62" t="s">
        <v>593</v>
      </c>
      <c r="B62" s="5">
        <v>1.02816E-5</v>
      </c>
      <c r="C62" t="s">
        <v>172</v>
      </c>
      <c r="E62" t="s">
        <v>211</v>
      </c>
      <c r="F62" t="s">
        <v>217</v>
      </c>
      <c r="G62" t="s">
        <v>126</v>
      </c>
    </row>
    <row r="63" spans="1:7">
      <c r="A63" t="s">
        <v>218</v>
      </c>
      <c r="B63" s="5">
        <v>4.5967999999999998E-6</v>
      </c>
      <c r="C63" t="s">
        <v>172</v>
      </c>
      <c r="E63" t="s">
        <v>211</v>
      </c>
      <c r="F63" t="s">
        <v>212</v>
      </c>
      <c r="G63" t="s">
        <v>126</v>
      </c>
    </row>
    <row r="64" spans="1:7">
      <c r="A64" t="s">
        <v>594</v>
      </c>
      <c r="B64" s="5">
        <v>1.0295200000000001E-7</v>
      </c>
      <c r="C64" t="s">
        <v>172</v>
      </c>
      <c r="E64" t="s">
        <v>211</v>
      </c>
      <c r="F64" t="s">
        <v>212</v>
      </c>
      <c r="G64" t="s">
        <v>126</v>
      </c>
    </row>
    <row r="65" spans="1:7">
      <c r="A65" t="s">
        <v>588</v>
      </c>
      <c r="B65" s="5">
        <v>4.1752000000000003E-6</v>
      </c>
      <c r="C65" t="s">
        <v>172</v>
      </c>
      <c r="E65" t="s">
        <v>211</v>
      </c>
      <c r="F65" t="s">
        <v>217</v>
      </c>
      <c r="G65" t="s">
        <v>126</v>
      </c>
    </row>
    <row r="66" spans="1:7">
      <c r="A66" t="s">
        <v>595</v>
      </c>
      <c r="B66">
        <v>0.10021784572074248</v>
      </c>
      <c r="C66" t="s">
        <v>172</v>
      </c>
      <c r="E66" t="s">
        <v>119</v>
      </c>
      <c r="F66" t="s">
        <v>596</v>
      </c>
      <c r="G66" t="s">
        <v>126</v>
      </c>
    </row>
    <row r="67" spans="1:7">
      <c r="A67" t="s">
        <v>595</v>
      </c>
      <c r="B67">
        <v>3.9668981352986863E-3</v>
      </c>
      <c r="C67" t="s">
        <v>172</v>
      </c>
      <c r="E67" t="s">
        <v>119</v>
      </c>
      <c r="F67" t="s">
        <v>127</v>
      </c>
      <c r="G67" t="s">
        <v>126</v>
      </c>
    </row>
    <row r="68" spans="1:7">
      <c r="A68" t="s">
        <v>597</v>
      </c>
      <c r="B68">
        <v>0.10032584000000001</v>
      </c>
      <c r="C68" t="s">
        <v>172</v>
      </c>
      <c r="E68" t="s">
        <v>119</v>
      </c>
      <c r="F68" t="s">
        <v>222</v>
      </c>
      <c r="G68" t="s">
        <v>126</v>
      </c>
    </row>
    <row r="69" spans="1:7">
      <c r="A69" t="s">
        <v>581</v>
      </c>
      <c r="B69">
        <v>1.5504E-3</v>
      </c>
      <c r="C69" t="s">
        <v>172</v>
      </c>
      <c r="E69" t="s">
        <v>211</v>
      </c>
      <c r="F69" t="s">
        <v>217</v>
      </c>
      <c r="G69" t="s">
        <v>126</v>
      </c>
    </row>
    <row r="70" spans="1:7">
      <c r="A70" t="s">
        <v>598</v>
      </c>
      <c r="B70" s="5">
        <v>6.7320000000000007E-7</v>
      </c>
      <c r="C70" t="s">
        <v>172</v>
      </c>
      <c r="E70" t="s">
        <v>211</v>
      </c>
      <c r="F70" t="s">
        <v>217</v>
      </c>
      <c r="G70" t="s">
        <v>126</v>
      </c>
    </row>
    <row r="71" spans="1:7">
      <c r="A71" t="s">
        <v>216</v>
      </c>
      <c r="B71">
        <v>2.5296000000000003</v>
      </c>
      <c r="C71" t="s">
        <v>172</v>
      </c>
      <c r="E71" t="s">
        <v>211</v>
      </c>
      <c r="F71" t="s">
        <v>217</v>
      </c>
      <c r="G71" t="s">
        <v>126</v>
      </c>
    </row>
    <row r="72" spans="1:7">
      <c r="A72" t="s">
        <v>599</v>
      </c>
      <c r="B72" s="5">
        <v>1.7680000000000003E-6</v>
      </c>
      <c r="C72" t="s">
        <v>172</v>
      </c>
      <c r="E72" t="s">
        <v>211</v>
      </c>
      <c r="F72" t="s">
        <v>217</v>
      </c>
      <c r="G72" t="s">
        <v>126</v>
      </c>
    </row>
    <row r="73" spans="1:7">
      <c r="A73" t="s">
        <v>600</v>
      </c>
      <c r="B73">
        <v>0.82144000000000006</v>
      </c>
      <c r="C73" t="s">
        <v>172</v>
      </c>
      <c r="E73" t="s">
        <v>211</v>
      </c>
      <c r="F73" t="s">
        <v>212</v>
      </c>
      <c r="G73" t="s">
        <v>126</v>
      </c>
    </row>
    <row r="74" spans="1:7">
      <c r="A74" t="s">
        <v>601</v>
      </c>
      <c r="B74" s="5">
        <v>5.6712000000000002E-5</v>
      </c>
      <c r="C74" t="s">
        <v>172</v>
      </c>
      <c r="E74" t="s">
        <v>211</v>
      </c>
      <c r="F74" t="s">
        <v>217</v>
      </c>
      <c r="G74" t="s">
        <v>126</v>
      </c>
    </row>
    <row r="75" spans="1:7">
      <c r="A75" t="s">
        <v>602</v>
      </c>
      <c r="B75" s="5">
        <v>1.1791200000000002E-7</v>
      </c>
      <c r="C75" t="s">
        <v>172</v>
      </c>
      <c r="E75" t="s">
        <v>211</v>
      </c>
      <c r="F75" t="s">
        <v>212</v>
      </c>
      <c r="G75" t="s">
        <v>126</v>
      </c>
    </row>
    <row r="76" spans="1:7">
      <c r="A76" t="s">
        <v>603</v>
      </c>
      <c r="B76" s="5">
        <v>4.9640000000000002E-6</v>
      </c>
      <c r="C76" t="s">
        <v>172</v>
      </c>
      <c r="E76" t="s">
        <v>211</v>
      </c>
      <c r="F76" t="s">
        <v>217</v>
      </c>
      <c r="G76" t="s">
        <v>126</v>
      </c>
    </row>
    <row r="77" spans="1:7">
      <c r="A77" t="s">
        <v>580</v>
      </c>
      <c r="B77" s="5">
        <v>6.0248000000000003E-6</v>
      </c>
      <c r="C77" t="s">
        <v>172</v>
      </c>
      <c r="E77" t="s">
        <v>211</v>
      </c>
      <c r="F77" t="s">
        <v>217</v>
      </c>
      <c r="G77" t="s">
        <v>126</v>
      </c>
    </row>
    <row r="78" spans="1:7">
      <c r="A78" t="s">
        <v>604</v>
      </c>
      <c r="B78">
        <v>0.22576000000000002</v>
      </c>
      <c r="C78" t="s">
        <v>172</v>
      </c>
      <c r="E78" t="s">
        <v>211</v>
      </c>
      <c r="F78" t="s">
        <v>212</v>
      </c>
      <c r="G78" t="s">
        <v>126</v>
      </c>
    </row>
    <row r="79" spans="1:7">
      <c r="A79" t="s">
        <v>591</v>
      </c>
      <c r="B79">
        <v>1.3600000000000003E-4</v>
      </c>
      <c r="C79" t="s">
        <v>172</v>
      </c>
      <c r="E79" t="s">
        <v>211</v>
      </c>
      <c r="F79" t="s">
        <v>217</v>
      </c>
      <c r="G79" t="s">
        <v>126</v>
      </c>
    </row>
    <row r="80" spans="1:7">
      <c r="A80" t="s">
        <v>605</v>
      </c>
      <c r="B80" s="5">
        <v>8.1599999999999999E-9</v>
      </c>
      <c r="C80" t="s">
        <v>172</v>
      </c>
      <c r="E80" t="s">
        <v>211</v>
      </c>
      <c r="F80" t="s">
        <v>217</v>
      </c>
      <c r="G80" t="s">
        <v>126</v>
      </c>
    </row>
    <row r="81" spans="1:7">
      <c r="A81" t="s">
        <v>606</v>
      </c>
      <c r="B81" s="5">
        <v>1.35728E-5</v>
      </c>
      <c r="C81" t="s">
        <v>172</v>
      </c>
      <c r="E81" t="s">
        <v>211</v>
      </c>
      <c r="F81" t="s">
        <v>217</v>
      </c>
      <c r="G81" t="s">
        <v>126</v>
      </c>
    </row>
    <row r="82" spans="1:7">
      <c r="A82" t="s">
        <v>607</v>
      </c>
      <c r="B82" s="5">
        <v>5.1272000000000006E-6</v>
      </c>
      <c r="C82" t="s">
        <v>172</v>
      </c>
      <c r="E82" t="s">
        <v>211</v>
      </c>
      <c r="F82" t="s">
        <v>217</v>
      </c>
      <c r="G82" t="s">
        <v>126</v>
      </c>
    </row>
    <row r="83" spans="1:7">
      <c r="A83" t="s">
        <v>585</v>
      </c>
      <c r="B83" s="5">
        <v>5.6168000000000008E-5</v>
      </c>
      <c r="C83" t="s">
        <v>172</v>
      </c>
      <c r="E83" t="s">
        <v>211</v>
      </c>
      <c r="F83" t="s">
        <v>217</v>
      </c>
      <c r="G83" t="s">
        <v>126</v>
      </c>
    </row>
    <row r="84" spans="1:7">
      <c r="A84" t="s">
        <v>608</v>
      </c>
      <c r="B84" s="5">
        <v>5.7120000000000003E-7</v>
      </c>
      <c r="C84" t="s">
        <v>172</v>
      </c>
      <c r="E84" t="s">
        <v>211</v>
      </c>
      <c r="F84" t="s">
        <v>217</v>
      </c>
      <c r="G84" t="s">
        <v>126</v>
      </c>
    </row>
    <row r="85" spans="1:7">
      <c r="A85" t="s">
        <v>609</v>
      </c>
      <c r="B85" s="5">
        <v>1.21312E-5</v>
      </c>
      <c r="C85" t="s">
        <v>172</v>
      </c>
      <c r="E85" t="s">
        <v>211</v>
      </c>
      <c r="F85" t="s">
        <v>217</v>
      </c>
      <c r="G85" t="s">
        <v>126</v>
      </c>
    </row>
    <row r="86" spans="1:7">
      <c r="A86" t="s">
        <v>587</v>
      </c>
      <c r="B86" s="5">
        <v>7.8608000000000011E-8</v>
      </c>
      <c r="C86" t="s">
        <v>172</v>
      </c>
      <c r="E86" t="s">
        <v>211</v>
      </c>
      <c r="F86" t="s">
        <v>212</v>
      </c>
      <c r="G86" t="s">
        <v>126</v>
      </c>
    </row>
    <row r="87" spans="1:7">
      <c r="A87" t="s">
        <v>610</v>
      </c>
      <c r="B87" s="5">
        <v>3.8760000000000006E-7</v>
      </c>
      <c r="C87" t="s">
        <v>172</v>
      </c>
      <c r="E87" t="s">
        <v>211</v>
      </c>
      <c r="F87" t="s">
        <v>217</v>
      </c>
      <c r="G87" t="s">
        <v>126</v>
      </c>
    </row>
    <row r="88" spans="1:7">
      <c r="A88" t="s">
        <v>611</v>
      </c>
      <c r="B88" s="5">
        <v>3.8216000000000003E-7</v>
      </c>
      <c r="C88" t="s">
        <v>172</v>
      </c>
      <c r="E88" t="s">
        <v>211</v>
      </c>
      <c r="F88" t="s">
        <v>217</v>
      </c>
      <c r="G88" t="s">
        <v>126</v>
      </c>
    </row>
    <row r="89" spans="1:7">
      <c r="A89" t="s">
        <v>612</v>
      </c>
      <c r="B89">
        <v>1.3423200000000001E-2</v>
      </c>
      <c r="C89" t="s">
        <v>172</v>
      </c>
      <c r="E89" t="s">
        <v>211</v>
      </c>
      <c r="F89" t="s">
        <v>212</v>
      </c>
      <c r="G89" t="s">
        <v>126</v>
      </c>
    </row>
    <row r="90" spans="1:7">
      <c r="A90" t="s">
        <v>613</v>
      </c>
      <c r="B90" s="5">
        <v>2.3935999999999999E-7</v>
      </c>
      <c r="C90" t="s">
        <v>172</v>
      </c>
      <c r="E90" t="s">
        <v>211</v>
      </c>
      <c r="F90" t="s">
        <v>217</v>
      </c>
      <c r="G90" t="s">
        <v>126</v>
      </c>
    </row>
    <row r="91" spans="1:7">
      <c r="A91" t="s">
        <v>614</v>
      </c>
      <c r="B91">
        <v>1.0390400000000001E-2</v>
      </c>
      <c r="C91" t="s">
        <v>172</v>
      </c>
      <c r="E91" t="s">
        <v>211</v>
      </c>
      <c r="F91" t="s">
        <v>212</v>
      </c>
      <c r="G91" t="s">
        <v>126</v>
      </c>
    </row>
    <row r="92" spans="1:7">
      <c r="A92" t="s">
        <v>594</v>
      </c>
      <c r="B92">
        <v>5.3720000000000005E-4</v>
      </c>
      <c r="C92" t="s">
        <v>172</v>
      </c>
      <c r="E92" t="s">
        <v>211</v>
      </c>
      <c r="F92" t="s">
        <v>217</v>
      </c>
      <c r="G92" t="s">
        <v>126</v>
      </c>
    </row>
    <row r="93" spans="1:7">
      <c r="A93" t="s">
        <v>601</v>
      </c>
      <c r="B93" s="5">
        <v>3.1824000000000001E-8</v>
      </c>
      <c r="C93" t="s">
        <v>172</v>
      </c>
      <c r="E93" t="s">
        <v>211</v>
      </c>
      <c r="F93" t="s">
        <v>212</v>
      </c>
      <c r="G93" t="s">
        <v>126</v>
      </c>
    </row>
    <row r="94" spans="1:7">
      <c r="A94" t="s">
        <v>615</v>
      </c>
      <c r="B94" s="5">
        <v>1.7816E-5</v>
      </c>
      <c r="C94" t="s">
        <v>172</v>
      </c>
      <c r="E94" t="s">
        <v>211</v>
      </c>
      <c r="F94" t="s">
        <v>217</v>
      </c>
      <c r="G94"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322F9-78FE-45E7-9DB7-4780C88FB07C}">
  <dimension ref="A1:I268"/>
  <sheetViews>
    <sheetView topLeftCell="A12" zoomScaleNormal="100" workbookViewId="0">
      <selection activeCell="A37" sqref="A37"/>
    </sheetView>
  </sheetViews>
  <sheetFormatPr defaultColWidth="7.83203125" defaultRowHeight="14.5"/>
  <cols>
    <col min="1" max="1" width="60.33203125" style="34" bestFit="1" customWidth="1"/>
    <col min="2" max="2" width="11.33203125" style="34" bestFit="1" customWidth="1"/>
    <col min="3" max="3" width="15.83203125" style="34" bestFit="1" customWidth="1"/>
    <col min="4" max="4" width="15.58203125" style="34" customWidth="1"/>
    <col min="5" max="5" width="7.83203125" style="34"/>
    <col min="6" max="6" width="12.33203125" style="34" bestFit="1" customWidth="1"/>
    <col min="7" max="7" width="44.08203125" style="34" bestFit="1" customWidth="1"/>
    <col min="8" max="16384" width="7.83203125" style="34"/>
  </cols>
  <sheetData>
    <row r="1" spans="1:8">
      <c r="A1" s="36" t="s">
        <v>0</v>
      </c>
      <c r="B1" s="36" t="s">
        <v>971</v>
      </c>
    </row>
    <row r="2" spans="1:8">
      <c r="A2" s="34" t="s">
        <v>13</v>
      </c>
      <c r="B2" s="34" t="s">
        <v>992</v>
      </c>
    </row>
    <row r="3" spans="1:8">
      <c r="A3" s="34" t="s">
        <v>11</v>
      </c>
      <c r="B3" s="34" t="s">
        <v>636</v>
      </c>
    </row>
    <row r="4" spans="1:8">
      <c r="A4" s="34" t="s">
        <v>1</v>
      </c>
      <c r="B4" s="34" t="s">
        <v>622</v>
      </c>
    </row>
    <row r="5" spans="1:8">
      <c r="A5" s="34" t="s">
        <v>2</v>
      </c>
      <c r="B5" s="34">
        <v>1</v>
      </c>
    </row>
    <row r="6" spans="1:8">
      <c r="A6" s="34" t="s">
        <v>3</v>
      </c>
      <c r="B6" s="34" t="s">
        <v>970</v>
      </c>
    </row>
    <row r="7" spans="1:8">
      <c r="A7" s="34" t="s">
        <v>7</v>
      </c>
      <c r="B7" s="34" t="s">
        <v>38</v>
      </c>
    </row>
    <row r="8" spans="1:8">
      <c r="A8" s="36" t="s">
        <v>14</v>
      </c>
    </row>
    <row r="9" spans="1:8" s="36" customFormat="1">
      <c r="A9" s="36" t="s">
        <v>15</v>
      </c>
      <c r="B9" s="36" t="s">
        <v>16</v>
      </c>
      <c r="C9" s="36" t="s">
        <v>7</v>
      </c>
      <c r="D9" s="36" t="s">
        <v>18</v>
      </c>
      <c r="E9" s="36" t="s">
        <v>1</v>
      </c>
      <c r="F9" s="36" t="s">
        <v>5</v>
      </c>
      <c r="G9" s="36" t="s">
        <v>3</v>
      </c>
      <c r="H9" s="36" t="s">
        <v>898</v>
      </c>
    </row>
    <row r="10" spans="1:8">
      <c r="A10" s="34" t="str">
        <f>B1</f>
        <v>vanadium bearing magnetite production</v>
      </c>
      <c r="B10" s="35">
        <v>1.53</v>
      </c>
      <c r="C10" s="34" t="s">
        <v>38</v>
      </c>
      <c r="E10" s="34" t="s">
        <v>622</v>
      </c>
      <c r="F10" s="34" t="s">
        <v>24</v>
      </c>
      <c r="G10" s="34" t="s">
        <v>970</v>
      </c>
      <c r="H10" s="35">
        <v>1.53</v>
      </c>
    </row>
    <row r="11" spans="1:8">
      <c r="A11" s="34" t="s">
        <v>991</v>
      </c>
      <c r="B11" s="35">
        <f t="shared" ref="B11:B20" si="0">H11*0.767404063816987</f>
        <v>0.19185101595424675</v>
      </c>
      <c r="C11" s="34" t="s">
        <v>38</v>
      </c>
      <c r="E11" s="34" t="s">
        <v>34</v>
      </c>
      <c r="F11" s="34" t="s">
        <v>26</v>
      </c>
      <c r="G11" s="34" t="s">
        <v>990</v>
      </c>
      <c r="H11" s="35">
        <v>0.25</v>
      </c>
    </row>
    <row r="12" spans="1:8">
      <c r="A12" s="34" t="s">
        <v>989</v>
      </c>
      <c r="B12" s="35">
        <f t="shared" si="0"/>
        <v>2.3636045165563198E-11</v>
      </c>
      <c r="C12" s="34" t="s">
        <v>7</v>
      </c>
      <c r="E12" s="34" t="s">
        <v>34</v>
      </c>
      <c r="F12" s="34" t="s">
        <v>26</v>
      </c>
      <c r="G12" s="34" t="s">
        <v>988</v>
      </c>
      <c r="H12" s="35">
        <v>3.08E-11</v>
      </c>
    </row>
    <row r="13" spans="1:8">
      <c r="A13" s="34" t="s">
        <v>987</v>
      </c>
      <c r="B13" s="35">
        <f t="shared" si="0"/>
        <v>9.3623295785672415E-6</v>
      </c>
      <c r="C13" s="34" t="s">
        <v>38</v>
      </c>
      <c r="E13" s="34" t="s">
        <v>51</v>
      </c>
      <c r="F13" s="34" t="s">
        <v>26</v>
      </c>
      <c r="G13" s="35" t="s">
        <v>986</v>
      </c>
      <c r="H13" s="35">
        <v>1.22E-5</v>
      </c>
    </row>
    <row r="14" spans="1:8">
      <c r="A14" s="34" t="s">
        <v>985</v>
      </c>
      <c r="B14" s="35">
        <f t="shared" si="0"/>
        <v>4.2667665948224477E-8</v>
      </c>
      <c r="C14" s="34" t="s">
        <v>131</v>
      </c>
      <c r="E14" s="34" t="s">
        <v>34</v>
      </c>
      <c r="F14" s="34" t="s">
        <v>26</v>
      </c>
      <c r="G14" s="34" t="s">
        <v>984</v>
      </c>
      <c r="H14" s="35">
        <v>5.5600000000000002E-8</v>
      </c>
    </row>
    <row r="15" spans="1:8">
      <c r="A15" s="34" t="s">
        <v>267</v>
      </c>
      <c r="B15" s="35">
        <f t="shared" si="0"/>
        <v>1.8264216718844293E-2</v>
      </c>
      <c r="C15" s="34" t="s">
        <v>33</v>
      </c>
      <c r="E15" s="34" t="s">
        <v>34</v>
      </c>
      <c r="F15" s="34" t="s">
        <v>26</v>
      </c>
      <c r="G15" s="34" t="s">
        <v>268</v>
      </c>
      <c r="H15" s="35">
        <v>2.3800000000000002E-2</v>
      </c>
    </row>
    <row r="16" spans="1:8">
      <c r="A16" s="34" t="s">
        <v>365</v>
      </c>
      <c r="B16" s="35">
        <f t="shared" si="0"/>
        <v>1.1050618518964613E-2</v>
      </c>
      <c r="C16" s="34" t="s">
        <v>8</v>
      </c>
      <c r="E16" s="34" t="s">
        <v>622</v>
      </c>
      <c r="F16" s="34" t="s">
        <v>26</v>
      </c>
      <c r="G16" s="34" t="s">
        <v>366</v>
      </c>
      <c r="H16" s="35">
        <v>1.44E-2</v>
      </c>
    </row>
    <row r="17" spans="1:8">
      <c r="A17" s="34" t="s">
        <v>983</v>
      </c>
      <c r="B17" s="35">
        <f t="shared" si="0"/>
        <v>1.18180225827816E-2</v>
      </c>
      <c r="C17" s="34" t="s">
        <v>33</v>
      </c>
      <c r="E17" s="34" t="s">
        <v>51</v>
      </c>
      <c r="F17" s="34" t="s">
        <v>26</v>
      </c>
      <c r="G17" s="34" t="s">
        <v>496</v>
      </c>
      <c r="H17" s="35">
        <v>1.54E-2</v>
      </c>
    </row>
    <row r="18" spans="1:8">
      <c r="A18" s="34" t="s">
        <v>982</v>
      </c>
      <c r="B18" s="35">
        <f t="shared" si="0"/>
        <v>4.811623480132509E-2</v>
      </c>
      <c r="C18" s="34" t="s">
        <v>33</v>
      </c>
      <c r="E18" s="34" t="s">
        <v>34</v>
      </c>
      <c r="F18" s="34" t="s">
        <v>26</v>
      </c>
      <c r="G18" s="34" t="s">
        <v>981</v>
      </c>
      <c r="H18" s="35">
        <v>6.2700000000000006E-2</v>
      </c>
    </row>
    <row r="19" spans="1:8">
      <c r="A19" s="34" t="s">
        <v>980</v>
      </c>
      <c r="B19" s="35">
        <f t="shared" si="0"/>
        <v>1.1894762989163299E-4</v>
      </c>
      <c r="C19" s="34" t="s">
        <v>38</v>
      </c>
      <c r="E19" s="34" t="s">
        <v>34</v>
      </c>
      <c r="F19" s="34" t="s">
        <v>26</v>
      </c>
      <c r="G19" s="34" t="s">
        <v>979</v>
      </c>
      <c r="H19" s="35">
        <v>1.55E-4</v>
      </c>
    </row>
    <row r="20" spans="1:8">
      <c r="A20" s="34" t="s">
        <v>978</v>
      </c>
      <c r="B20" s="35">
        <f t="shared" si="0"/>
        <v>6.3617796890428222E-5</v>
      </c>
      <c r="C20" s="34" t="s">
        <v>114</v>
      </c>
      <c r="E20" s="34" t="s">
        <v>34</v>
      </c>
      <c r="F20" s="34" t="s">
        <v>26</v>
      </c>
      <c r="G20" s="34" t="s">
        <v>977</v>
      </c>
      <c r="H20" s="35">
        <v>8.2899999999999996E-5</v>
      </c>
    </row>
    <row r="21" spans="1:8" ht="43.5">
      <c r="A21" s="34" t="s">
        <v>976</v>
      </c>
      <c r="B21" s="35">
        <v>1</v>
      </c>
      <c r="C21" s="34" t="s">
        <v>38</v>
      </c>
      <c r="D21" s="37" t="s">
        <v>180</v>
      </c>
      <c r="F21" s="34" t="s">
        <v>126</v>
      </c>
      <c r="H21" s="35">
        <v>3.4000000000000002E-2</v>
      </c>
    </row>
    <row r="22" spans="1:8" ht="43.5">
      <c r="A22" s="61" t="s">
        <v>1301</v>
      </c>
      <c r="B22" s="35">
        <f t="shared" ref="B22:B31" si="1">H22*0.767404063816987</f>
        <v>0.82879638892234597</v>
      </c>
      <c r="C22" s="34" t="s">
        <v>38</v>
      </c>
      <c r="D22" s="37" t="s">
        <v>180</v>
      </c>
      <c r="F22" s="34" t="s">
        <v>126</v>
      </c>
      <c r="H22" s="35">
        <v>1.08</v>
      </c>
    </row>
    <row r="23" spans="1:8">
      <c r="A23" s="34" t="s">
        <v>975</v>
      </c>
      <c r="B23" s="35">
        <f t="shared" si="1"/>
        <v>1.9108361189042976E-3</v>
      </c>
      <c r="C23" s="34" t="s">
        <v>188</v>
      </c>
      <c r="D23" s="61" t="s">
        <v>185</v>
      </c>
      <c r="F23" s="34" t="s">
        <v>126</v>
      </c>
      <c r="H23" s="35">
        <v>2.49E-3</v>
      </c>
    </row>
    <row r="24" spans="1:8">
      <c r="A24" s="34" t="s">
        <v>974</v>
      </c>
      <c r="B24" s="35">
        <f t="shared" si="1"/>
        <v>6.3617796890428222E-5</v>
      </c>
      <c r="C24" s="34" t="s">
        <v>114</v>
      </c>
      <c r="D24" s="34" t="s">
        <v>185</v>
      </c>
      <c r="F24" s="34" t="s">
        <v>126</v>
      </c>
      <c r="H24" s="35">
        <v>8.2899999999999996E-5</v>
      </c>
    </row>
    <row r="25" spans="1:8">
      <c r="A25" s="34" t="s">
        <v>973</v>
      </c>
      <c r="B25" s="35">
        <f t="shared" si="1"/>
        <v>6.3617796890428222E-5</v>
      </c>
      <c r="C25" s="34" t="s">
        <v>114</v>
      </c>
      <c r="D25" s="34" t="s">
        <v>185</v>
      </c>
      <c r="F25" s="34" t="s">
        <v>126</v>
      </c>
      <c r="H25" s="35">
        <v>8.2899999999999996E-5</v>
      </c>
    </row>
    <row r="26" spans="1:8">
      <c r="A26" s="40" t="s">
        <v>1001</v>
      </c>
      <c r="B26" s="35">
        <f t="shared" si="1"/>
        <v>4.4969878139675439E-5</v>
      </c>
      <c r="C26" s="34" t="s">
        <v>119</v>
      </c>
      <c r="D26" s="34" t="s">
        <v>222</v>
      </c>
      <c r="F26" s="34" t="s">
        <v>126</v>
      </c>
      <c r="H26" s="35">
        <v>5.8600000000000001E-5</v>
      </c>
    </row>
    <row r="27" spans="1:8">
      <c r="A27" s="34" t="s">
        <v>905</v>
      </c>
      <c r="B27" s="35">
        <f t="shared" si="1"/>
        <v>1.358305192956067E-5</v>
      </c>
      <c r="C27" s="34" t="s">
        <v>38</v>
      </c>
      <c r="D27" s="34" t="s">
        <v>212</v>
      </c>
      <c r="F27" s="34" t="s">
        <v>126</v>
      </c>
      <c r="H27" s="35">
        <v>1.77E-5</v>
      </c>
    </row>
    <row r="28" spans="1:8">
      <c r="A28" s="34" t="s">
        <v>904</v>
      </c>
      <c r="B28" s="35">
        <f t="shared" si="1"/>
        <v>1.8187476312462591E-4</v>
      </c>
      <c r="C28" s="34" t="s">
        <v>38</v>
      </c>
      <c r="D28" s="34" t="s">
        <v>212</v>
      </c>
      <c r="F28" s="34" t="s">
        <v>126</v>
      </c>
      <c r="H28" s="35">
        <v>2.3699999999999999E-4</v>
      </c>
    </row>
    <row r="29" spans="1:8">
      <c r="A29" s="34" t="s">
        <v>125</v>
      </c>
      <c r="B29" s="35">
        <f t="shared" si="1"/>
        <v>7.3440568907285649E-5</v>
      </c>
      <c r="C29" s="34" t="s">
        <v>38</v>
      </c>
      <c r="D29" s="34" t="s">
        <v>212</v>
      </c>
      <c r="F29" s="34" t="s">
        <v>126</v>
      </c>
      <c r="H29" s="35">
        <v>9.5699999999999995E-5</v>
      </c>
    </row>
    <row r="30" spans="1:8">
      <c r="A30" s="34" t="s">
        <v>595</v>
      </c>
      <c r="B30" s="35">
        <f t="shared" si="1"/>
        <v>6.7454817209513161E-6</v>
      </c>
      <c r="C30" s="34" t="s">
        <v>119</v>
      </c>
      <c r="D30" s="34" t="s">
        <v>127</v>
      </c>
      <c r="F30" s="34" t="s">
        <v>126</v>
      </c>
      <c r="H30" s="35">
        <v>8.7900000000000005E-6</v>
      </c>
    </row>
    <row r="31" spans="1:8">
      <c r="A31" s="34" t="s">
        <v>595</v>
      </c>
      <c r="B31" s="35">
        <f t="shared" si="1"/>
        <v>3.8216722378085953E-5</v>
      </c>
      <c r="C31" s="34" t="s">
        <v>119</v>
      </c>
      <c r="D31" s="34" t="s">
        <v>596</v>
      </c>
      <c r="F31" s="34" t="s">
        <v>126</v>
      </c>
      <c r="H31" s="35">
        <v>4.9799999999999998E-5</v>
      </c>
    </row>
    <row r="33" spans="1:8">
      <c r="A33" s="36" t="s">
        <v>0</v>
      </c>
      <c r="B33" s="36" t="s">
        <v>951</v>
      </c>
    </row>
    <row r="34" spans="1:8">
      <c r="A34" s="34" t="s">
        <v>13</v>
      </c>
      <c r="B34" s="34" t="s">
        <v>972</v>
      </c>
    </row>
    <row r="35" spans="1:8">
      <c r="A35" s="34" t="s">
        <v>11</v>
      </c>
      <c r="B35" s="34" t="s">
        <v>636</v>
      </c>
    </row>
    <row r="36" spans="1:8">
      <c r="A36" s="34" t="s">
        <v>1</v>
      </c>
      <c r="B36" s="34" t="s">
        <v>622</v>
      </c>
    </row>
    <row r="37" spans="1:8">
      <c r="A37" s="34" t="s">
        <v>2</v>
      </c>
      <c r="B37" s="34">
        <v>1</v>
      </c>
    </row>
    <row r="38" spans="1:8">
      <c r="A38" s="34" t="s">
        <v>3</v>
      </c>
      <c r="B38" s="34" t="s">
        <v>950</v>
      </c>
    </row>
    <row r="39" spans="1:8">
      <c r="A39" s="34" t="s">
        <v>7</v>
      </c>
      <c r="B39" s="34" t="s">
        <v>38</v>
      </c>
    </row>
    <row r="40" spans="1:8">
      <c r="A40" s="36" t="s">
        <v>14</v>
      </c>
    </row>
    <row r="41" spans="1:8" s="36" customFormat="1">
      <c r="A41" s="36" t="s">
        <v>15</v>
      </c>
      <c r="B41" s="36" t="s">
        <v>16</v>
      </c>
      <c r="C41" s="36" t="s">
        <v>7</v>
      </c>
      <c r="D41" s="36" t="s">
        <v>18</v>
      </c>
      <c r="E41" s="36" t="s">
        <v>1</v>
      </c>
      <c r="F41" s="36" t="s">
        <v>5</v>
      </c>
      <c r="G41" s="36" t="s">
        <v>3</v>
      </c>
      <c r="H41" s="36" t="s">
        <v>898</v>
      </c>
    </row>
    <row r="42" spans="1:8">
      <c r="A42" s="34" t="s">
        <v>951</v>
      </c>
      <c r="B42" s="35">
        <v>1.46</v>
      </c>
      <c r="C42" s="34" t="s">
        <v>38</v>
      </c>
      <c r="E42" s="34" t="s">
        <v>622</v>
      </c>
      <c r="F42" s="34" t="s">
        <v>24</v>
      </c>
      <c r="G42" s="34" t="s">
        <v>950</v>
      </c>
      <c r="H42" s="35"/>
    </row>
    <row r="43" spans="1:8">
      <c r="A43" s="34" t="s">
        <v>971</v>
      </c>
      <c r="B43" s="35">
        <v>1.53</v>
      </c>
      <c r="C43" s="34" t="s">
        <v>38</v>
      </c>
      <c r="E43" s="34" t="s">
        <v>622</v>
      </c>
      <c r="F43" s="34" t="s">
        <v>26</v>
      </c>
      <c r="G43" s="34" t="s">
        <v>970</v>
      </c>
      <c r="H43" s="35"/>
    </row>
    <row r="44" spans="1:8">
      <c r="A44" s="34" t="s">
        <v>969</v>
      </c>
      <c r="B44" s="35">
        <v>1.3699999999999999E-3</v>
      </c>
      <c r="C44" s="34" t="s">
        <v>38</v>
      </c>
      <c r="E44" s="34" t="s">
        <v>51</v>
      </c>
      <c r="F44" s="34" t="s">
        <v>26</v>
      </c>
      <c r="G44" s="34" t="s">
        <v>968</v>
      </c>
      <c r="H44" s="35"/>
    </row>
    <row r="45" spans="1:8">
      <c r="A45" s="34" t="s">
        <v>967</v>
      </c>
      <c r="B45" s="35">
        <v>3.3800000000000002E-5</v>
      </c>
      <c r="C45" s="34" t="s">
        <v>38</v>
      </c>
      <c r="E45" s="34" t="s">
        <v>34</v>
      </c>
      <c r="F45" s="34" t="s">
        <v>26</v>
      </c>
      <c r="G45" s="34" t="s">
        <v>966</v>
      </c>
      <c r="H45" s="35"/>
    </row>
    <row r="46" spans="1:8">
      <c r="A46" s="61" t="s">
        <v>1276</v>
      </c>
      <c r="B46" s="35">
        <v>5.6999999999999998E-4</v>
      </c>
      <c r="C46" s="34" t="s">
        <v>38</v>
      </c>
      <c r="E46" s="34" t="s">
        <v>51</v>
      </c>
      <c r="F46" s="34" t="s">
        <v>26</v>
      </c>
      <c r="G46" s="61" t="s">
        <v>1277</v>
      </c>
      <c r="H46" s="35"/>
    </row>
    <row r="47" spans="1:8">
      <c r="A47" s="34" t="s">
        <v>436</v>
      </c>
      <c r="B47" s="35">
        <v>5.9699999999999996E-6</v>
      </c>
      <c r="C47" s="34" t="s">
        <v>38</v>
      </c>
      <c r="E47" s="34" t="s">
        <v>34</v>
      </c>
      <c r="F47" s="34" t="s">
        <v>26</v>
      </c>
      <c r="G47" s="61" t="s">
        <v>438</v>
      </c>
      <c r="H47" s="35"/>
    </row>
    <row r="48" spans="1:8">
      <c r="A48" s="34" t="s">
        <v>275</v>
      </c>
      <c r="B48" s="35">
        <v>4.5999999999999999E-7</v>
      </c>
      <c r="C48" s="34" t="s">
        <v>38</v>
      </c>
      <c r="E48" s="34" t="s">
        <v>51</v>
      </c>
      <c r="F48" s="34" t="s">
        <v>26</v>
      </c>
      <c r="G48" s="34" t="s">
        <v>276</v>
      </c>
      <c r="H48" s="35"/>
    </row>
    <row r="49" spans="1:8">
      <c r="A49" s="34" t="s">
        <v>543</v>
      </c>
      <c r="B49" s="35">
        <v>3.2899999999999998E-6</v>
      </c>
      <c r="C49" s="34" t="s">
        <v>38</v>
      </c>
      <c r="E49" s="61" t="s">
        <v>20</v>
      </c>
      <c r="F49" s="34" t="s">
        <v>26</v>
      </c>
      <c r="G49" s="34" t="s">
        <v>544</v>
      </c>
      <c r="H49" s="35"/>
    </row>
    <row r="50" spans="1:8">
      <c r="A50" s="34" t="s">
        <v>965</v>
      </c>
      <c r="B50" s="35">
        <v>4.0000000000000002E-9</v>
      </c>
      <c r="C50" s="34" t="s">
        <v>38</v>
      </c>
      <c r="E50" s="34" t="s">
        <v>34</v>
      </c>
      <c r="F50" s="34" t="s">
        <v>26</v>
      </c>
      <c r="G50" s="34" t="s">
        <v>964</v>
      </c>
      <c r="H50" s="35"/>
    </row>
    <row r="51" spans="1:8">
      <c r="A51" s="34" t="s">
        <v>932</v>
      </c>
      <c r="B51" s="35">
        <v>1.2999999999999999E-2</v>
      </c>
      <c r="C51" s="34" t="s">
        <v>38</v>
      </c>
      <c r="E51" s="34" t="s">
        <v>622</v>
      </c>
      <c r="F51" s="34" t="s">
        <v>26</v>
      </c>
      <c r="G51" s="34" t="s">
        <v>931</v>
      </c>
      <c r="H51" s="35"/>
    </row>
    <row r="52" spans="1:8">
      <c r="A52" s="34" t="s">
        <v>963</v>
      </c>
      <c r="B52" s="35">
        <v>2.5000000000000001E-11</v>
      </c>
      <c r="C52" s="34" t="s">
        <v>7</v>
      </c>
      <c r="E52" s="34" t="s">
        <v>34</v>
      </c>
      <c r="F52" s="34" t="s">
        <v>26</v>
      </c>
      <c r="G52" s="34" t="s">
        <v>962</v>
      </c>
      <c r="H52" s="35"/>
    </row>
    <row r="53" spans="1:8">
      <c r="A53" s="34" t="s">
        <v>200</v>
      </c>
      <c r="B53" s="35">
        <v>2.2899999999999999E-3</v>
      </c>
      <c r="C53" s="34" t="s">
        <v>8</v>
      </c>
      <c r="E53" s="34" t="s">
        <v>622</v>
      </c>
      <c r="F53" s="34" t="s">
        <v>26</v>
      </c>
      <c r="G53" s="34" t="s">
        <v>159</v>
      </c>
      <c r="H53" s="35"/>
    </row>
    <row r="54" spans="1:8">
      <c r="A54" s="34" t="s">
        <v>365</v>
      </c>
      <c r="B54" s="35">
        <v>2.5000000000000001E-2</v>
      </c>
      <c r="C54" s="34" t="s">
        <v>8</v>
      </c>
      <c r="E54" s="34" t="s">
        <v>622</v>
      </c>
      <c r="F54" s="34" t="s">
        <v>26</v>
      </c>
      <c r="G54" s="34" t="s">
        <v>366</v>
      </c>
      <c r="H54" s="35"/>
    </row>
    <row r="55" spans="1:8">
      <c r="A55" s="34" t="s">
        <v>651</v>
      </c>
      <c r="B55" s="35">
        <v>6.5500000000000003E-2</v>
      </c>
      <c r="C55" s="34" t="s">
        <v>33</v>
      </c>
      <c r="E55" s="34" t="s">
        <v>51</v>
      </c>
      <c r="F55" s="34" t="s">
        <v>26</v>
      </c>
      <c r="G55" s="34" t="s">
        <v>493</v>
      </c>
      <c r="H55" s="35"/>
    </row>
    <row r="56" spans="1:8">
      <c r="A56" s="34" t="s">
        <v>961</v>
      </c>
      <c r="B56" s="35">
        <v>2.3300000000000001E-2</v>
      </c>
      <c r="C56" s="34" t="s">
        <v>33</v>
      </c>
      <c r="E56" s="34" t="s">
        <v>51</v>
      </c>
      <c r="F56" s="34" t="s">
        <v>26</v>
      </c>
      <c r="G56" s="34" t="s">
        <v>960</v>
      </c>
      <c r="H56" s="35"/>
    </row>
    <row r="57" spans="1:8">
      <c r="A57" s="34" t="s">
        <v>959</v>
      </c>
      <c r="B57" s="35">
        <v>2.1600000000000001E-2</v>
      </c>
      <c r="C57" s="34" t="s">
        <v>38</v>
      </c>
      <c r="E57" s="34" t="s">
        <v>34</v>
      </c>
      <c r="F57" s="34" t="s">
        <v>26</v>
      </c>
      <c r="G57" s="34" t="s">
        <v>624</v>
      </c>
      <c r="H57" s="35"/>
    </row>
    <row r="58" spans="1:8">
      <c r="A58" s="34" t="s">
        <v>574</v>
      </c>
      <c r="B58" s="35">
        <v>-8.6599999999999995E-8</v>
      </c>
      <c r="C58" s="34" t="s">
        <v>38</v>
      </c>
      <c r="E58" s="34" t="s">
        <v>51</v>
      </c>
      <c r="F58" s="34" t="s">
        <v>26</v>
      </c>
      <c r="G58" s="34" t="s">
        <v>575</v>
      </c>
      <c r="H58" s="35"/>
    </row>
    <row r="59" spans="1:8">
      <c r="A59" s="34" t="s">
        <v>1273</v>
      </c>
      <c r="B59" s="35">
        <v>-3.2600000000000001E-6</v>
      </c>
      <c r="C59" s="34" t="s">
        <v>38</v>
      </c>
      <c r="E59" s="34" t="s">
        <v>51</v>
      </c>
      <c r="F59" s="34" t="s">
        <v>26</v>
      </c>
      <c r="G59" s="34" t="s">
        <v>1272</v>
      </c>
      <c r="H59" s="35"/>
    </row>
    <row r="60" spans="1:8">
      <c r="A60" s="34" t="s">
        <v>889</v>
      </c>
      <c r="B60" s="35">
        <v>-1.23E-7</v>
      </c>
      <c r="C60" s="34" t="s">
        <v>38</v>
      </c>
      <c r="E60" s="34" t="s">
        <v>51</v>
      </c>
      <c r="F60" s="34" t="s">
        <v>26</v>
      </c>
      <c r="G60" s="34" t="s">
        <v>888</v>
      </c>
      <c r="H60" s="35"/>
    </row>
    <row r="61" spans="1:8">
      <c r="A61" s="34" t="s">
        <v>958</v>
      </c>
      <c r="B61" s="35">
        <v>6.2000000000000002E-12</v>
      </c>
      <c r="C61" s="34" t="s">
        <v>38</v>
      </c>
      <c r="D61" s="34" t="s">
        <v>217</v>
      </c>
      <c r="F61" s="34" t="s">
        <v>126</v>
      </c>
      <c r="H61" s="35"/>
    </row>
    <row r="62" spans="1:8">
      <c r="A62" s="34" t="s">
        <v>916</v>
      </c>
      <c r="B62" s="35">
        <v>2.1E-10</v>
      </c>
      <c r="C62" s="34" t="s">
        <v>38</v>
      </c>
      <c r="D62" s="34" t="s">
        <v>127</v>
      </c>
      <c r="F62" s="34" t="s">
        <v>126</v>
      </c>
      <c r="H62" s="35"/>
    </row>
    <row r="63" spans="1:8">
      <c r="A63" s="34" t="s">
        <v>957</v>
      </c>
      <c r="B63" s="35">
        <v>3.1000000000000001E-12</v>
      </c>
      <c r="C63" s="34" t="s">
        <v>38</v>
      </c>
      <c r="D63" s="34" t="s">
        <v>217</v>
      </c>
      <c r="F63" s="34" t="s">
        <v>126</v>
      </c>
      <c r="H63" s="35"/>
    </row>
    <row r="64" spans="1:8">
      <c r="A64" s="34" t="s">
        <v>621</v>
      </c>
      <c r="B64" s="35">
        <f>(0.0237/(0.0237+0.000424770660780544))*0.0245</f>
        <v>2.4068622585662891E-2</v>
      </c>
      <c r="C64" s="34" t="s">
        <v>38</v>
      </c>
      <c r="D64" s="34" t="s">
        <v>127</v>
      </c>
      <c r="F64" s="34" t="s">
        <v>126</v>
      </c>
      <c r="H64" s="35"/>
    </row>
    <row r="65" spans="1:8">
      <c r="A65" s="34" t="s">
        <v>621</v>
      </c>
      <c r="B65" s="35">
        <f>(0.000424770660780544/(0.0237+0.000424770660780544))*0.0245</f>
        <v>4.3137741433711186E-4</v>
      </c>
      <c r="C65" s="34" t="s">
        <v>38</v>
      </c>
      <c r="D65" s="34" t="s">
        <v>212</v>
      </c>
      <c r="F65" s="34" t="s">
        <v>126</v>
      </c>
      <c r="H65" s="35"/>
    </row>
    <row r="66" spans="1:8">
      <c r="A66" s="34" t="s">
        <v>915</v>
      </c>
      <c r="B66" s="35">
        <f>(0.00021/(0.00021+1.1703573561119E-08))* 0.00021</f>
        <v>2.0998829707865793E-4</v>
      </c>
      <c r="C66" s="34" t="s">
        <v>38</v>
      </c>
      <c r="D66" s="34" t="s">
        <v>127</v>
      </c>
      <c r="F66" s="34" t="s">
        <v>126</v>
      </c>
      <c r="H66" s="35"/>
    </row>
    <row r="67" spans="1:8">
      <c r="A67" s="34" t="s">
        <v>915</v>
      </c>
      <c r="B67" s="35">
        <f>(1.1703573561119E-08/(0.00021+1.1703573561119E-08))* 0.00021</f>
        <v>1.1702921342067539E-8</v>
      </c>
      <c r="C67" s="34" t="s">
        <v>38</v>
      </c>
      <c r="D67" s="34" t="s">
        <v>212</v>
      </c>
      <c r="F67" s="34" t="s">
        <v>126</v>
      </c>
      <c r="H67" s="35"/>
    </row>
    <row r="68" spans="1:8">
      <c r="A68" s="34" t="s">
        <v>914</v>
      </c>
      <c r="B68" s="35">
        <v>2.7000000000000002E-9</v>
      </c>
      <c r="C68" s="34" t="s">
        <v>38</v>
      </c>
      <c r="D68" s="34" t="s">
        <v>127</v>
      </c>
      <c r="F68" s="34" t="s">
        <v>126</v>
      </c>
      <c r="H68" s="35"/>
    </row>
    <row r="69" spans="1:8">
      <c r="A69" s="34" t="s">
        <v>506</v>
      </c>
      <c r="B69" s="35">
        <v>4.9600000000000002E-11</v>
      </c>
      <c r="C69" s="34" t="s">
        <v>38</v>
      </c>
      <c r="D69" s="34" t="s">
        <v>217</v>
      </c>
      <c r="F69" s="34" t="s">
        <v>126</v>
      </c>
      <c r="H69" s="35"/>
    </row>
    <row r="70" spans="1:8">
      <c r="A70" s="41" t="s">
        <v>1002</v>
      </c>
      <c r="B70" s="35">
        <v>6.2000000000000002E-12</v>
      </c>
      <c r="C70" s="34" t="s">
        <v>38</v>
      </c>
      <c r="D70" s="34" t="s">
        <v>217</v>
      </c>
      <c r="F70" s="34" t="s">
        <v>126</v>
      </c>
      <c r="H70" s="35"/>
    </row>
    <row r="71" spans="1:8">
      <c r="A71" s="34" t="s">
        <v>912</v>
      </c>
      <c r="B71" s="35">
        <v>4.5999999999999998E-9</v>
      </c>
      <c r="C71" s="34" t="s">
        <v>38</v>
      </c>
      <c r="D71" s="34" t="s">
        <v>127</v>
      </c>
      <c r="F71" s="34" t="s">
        <v>126</v>
      </c>
      <c r="H71" s="35"/>
    </row>
    <row r="72" spans="1:8">
      <c r="A72" s="34" t="s">
        <v>507</v>
      </c>
      <c r="B72" s="35">
        <v>6.2000000000000002E-12</v>
      </c>
      <c r="C72" s="34" t="s">
        <v>38</v>
      </c>
      <c r="D72" s="34" t="s">
        <v>217</v>
      </c>
      <c r="F72" s="34" t="s">
        <v>126</v>
      </c>
      <c r="H72" s="35"/>
    </row>
    <row r="73" spans="1:8">
      <c r="A73" s="34" t="s">
        <v>956</v>
      </c>
      <c r="B73" s="35">
        <v>1.5E-9</v>
      </c>
      <c r="C73" s="34" t="s">
        <v>38</v>
      </c>
      <c r="D73" s="34" t="s">
        <v>212</v>
      </c>
      <c r="F73" s="34" t="s">
        <v>126</v>
      </c>
      <c r="H73" s="35"/>
    </row>
    <row r="74" spans="1:8">
      <c r="A74" s="34" t="s">
        <v>911</v>
      </c>
      <c r="B74" s="35">
        <v>5.7000000000000003E-15</v>
      </c>
      <c r="C74" s="34" t="s">
        <v>38</v>
      </c>
      <c r="D74" s="34" t="s">
        <v>127</v>
      </c>
      <c r="F74" s="34" t="s">
        <v>126</v>
      </c>
      <c r="H74" s="35"/>
    </row>
    <row r="75" spans="1:8">
      <c r="A75" s="34" t="s">
        <v>955</v>
      </c>
      <c r="B75" s="35">
        <v>2.2500000000000001E-5</v>
      </c>
      <c r="C75" s="34" t="s">
        <v>38</v>
      </c>
      <c r="D75" s="34" t="s">
        <v>127</v>
      </c>
      <c r="F75" s="34" t="s">
        <v>126</v>
      </c>
      <c r="H75" s="35"/>
    </row>
    <row r="76" spans="1:8">
      <c r="A76" s="34" t="s">
        <v>910</v>
      </c>
      <c r="B76" s="35">
        <f xml:space="preserve"> (0.000025/(0.000025+1.10897114448942E-07))*0.0000252</f>
        <v>2.5088709380976064E-5</v>
      </c>
      <c r="C76" s="34" t="s">
        <v>38</v>
      </c>
      <c r="D76" s="34" t="s">
        <v>127</v>
      </c>
      <c r="F76" s="34" t="s">
        <v>126</v>
      </c>
      <c r="H76" s="35"/>
    </row>
    <row r="77" spans="1:8">
      <c r="A77" s="34" t="s">
        <v>910</v>
      </c>
      <c r="B77" s="35">
        <f xml:space="preserve"> (1.10897114448942E-07/(0.000025+1.10897114448942E-07))*0.0000252</f>
        <v>1.1129061902393389E-7</v>
      </c>
      <c r="C77" s="34" t="s">
        <v>38</v>
      </c>
      <c r="D77" s="34" t="s">
        <v>212</v>
      </c>
      <c r="F77" s="34" t="s">
        <v>126</v>
      </c>
      <c r="H77" s="35"/>
    </row>
    <row r="78" spans="1:8">
      <c r="A78" s="34" t="s">
        <v>513</v>
      </c>
      <c r="B78" s="35">
        <f>(0.0000199/(0.0000199+2.59429822928332E-07))*0.0000204</f>
        <v>2.0137474301891281E-5</v>
      </c>
      <c r="C78" s="34" t="s">
        <v>38</v>
      </c>
      <c r="D78" s="34" t="s">
        <v>127</v>
      </c>
      <c r="F78" s="34" t="s">
        <v>126</v>
      </c>
      <c r="H78" s="35"/>
    </row>
    <row r="79" spans="1:8">
      <c r="A79" s="34" t="s">
        <v>513</v>
      </c>
      <c r="B79" s="35">
        <f>(2.59429822928332E-07/(0.0000199+2.59429822928332E-07))*0.0000204</f>
        <v>2.6252569810871818E-7</v>
      </c>
      <c r="C79" s="34" t="s">
        <v>38</v>
      </c>
      <c r="D79" s="34" t="s">
        <v>212</v>
      </c>
      <c r="F79" s="34" t="s">
        <v>126</v>
      </c>
      <c r="H79" s="35"/>
    </row>
    <row r="80" spans="1:8">
      <c r="A80" s="34" t="s">
        <v>417</v>
      </c>
      <c r="B80" s="35">
        <v>1.18E-8</v>
      </c>
      <c r="C80" s="34" t="s">
        <v>38</v>
      </c>
      <c r="D80" s="34" t="s">
        <v>217</v>
      </c>
      <c r="F80" s="34" t="s">
        <v>126</v>
      </c>
      <c r="H80" s="35"/>
    </row>
    <row r="81" spans="1:8">
      <c r="A81" s="34" t="s">
        <v>909</v>
      </c>
      <c r="B81" s="35">
        <v>6.6500000000000007E-8</v>
      </c>
      <c r="C81" s="34" t="s">
        <v>38</v>
      </c>
      <c r="D81" s="34" t="s">
        <v>127</v>
      </c>
      <c r="F81" s="34" t="s">
        <v>126</v>
      </c>
      <c r="H81" s="35"/>
    </row>
    <row r="82" spans="1:8">
      <c r="A82" s="34" t="s">
        <v>909</v>
      </c>
      <c r="B82" s="35">
        <v>6.2000000000000002E-12</v>
      </c>
      <c r="C82" s="34" t="s">
        <v>38</v>
      </c>
      <c r="D82" s="34" t="s">
        <v>217</v>
      </c>
      <c r="F82" s="34" t="s">
        <v>126</v>
      </c>
      <c r="H82" s="35"/>
    </row>
    <row r="83" spans="1:8">
      <c r="A83" s="34" t="s">
        <v>419</v>
      </c>
      <c r="B83" s="35">
        <v>1.86E-9</v>
      </c>
      <c r="C83" s="34" t="s">
        <v>38</v>
      </c>
      <c r="D83" s="34" t="s">
        <v>217</v>
      </c>
      <c r="F83" s="34" t="s">
        <v>126</v>
      </c>
      <c r="H83" s="35"/>
    </row>
    <row r="84" spans="1:8">
      <c r="A84" s="34" t="s">
        <v>419</v>
      </c>
      <c r="B84" s="35">
        <v>2.3000000000000001E-8</v>
      </c>
      <c r="C84" s="34" t="s">
        <v>38</v>
      </c>
      <c r="D84" s="34" t="s">
        <v>127</v>
      </c>
      <c r="F84" s="34" t="s">
        <v>126</v>
      </c>
      <c r="H84" s="35"/>
    </row>
    <row r="85" spans="1:8">
      <c r="A85" s="34" t="s">
        <v>908</v>
      </c>
      <c r="B85" s="35">
        <f xml:space="preserve"> (0.00000000025/(0.00000000025+5.53572086952709E-11))*0.000000000349</f>
        <v>2.8573093254553073E-10</v>
      </c>
      <c r="C85" s="34" t="s">
        <v>38</v>
      </c>
      <c r="D85" s="34" t="s">
        <v>127</v>
      </c>
      <c r="F85" s="34" t="s">
        <v>126</v>
      </c>
      <c r="H85" s="35"/>
    </row>
    <row r="86" spans="1:8">
      <c r="A86" s="34" t="s">
        <v>908</v>
      </c>
      <c r="B86" s="35">
        <f xml:space="preserve"> (5.53572086952709E-11/(0.00000000025+5.53572086952709E-11))*0.000000000349</f>
        <v>6.3269067454469265E-11</v>
      </c>
      <c r="C86" s="34" t="s">
        <v>38</v>
      </c>
      <c r="D86" s="34" t="s">
        <v>212</v>
      </c>
      <c r="F86" s="34" t="s">
        <v>126</v>
      </c>
      <c r="H86" s="35"/>
    </row>
    <row r="87" spans="1:8">
      <c r="A87" s="34" t="s">
        <v>908</v>
      </c>
      <c r="B87" s="35">
        <v>8.06E-13</v>
      </c>
      <c r="C87" s="34" t="s">
        <v>38</v>
      </c>
      <c r="D87" s="34" t="s">
        <v>217</v>
      </c>
      <c r="F87" s="34" t="s">
        <v>126</v>
      </c>
      <c r="H87" s="35"/>
    </row>
    <row r="88" spans="1:8">
      <c r="A88" s="34" t="s">
        <v>954</v>
      </c>
      <c r="B88" s="35">
        <v>6.0999999999999996E-11</v>
      </c>
      <c r="C88" s="34" t="s">
        <v>38</v>
      </c>
      <c r="D88" s="34" t="s">
        <v>212</v>
      </c>
      <c r="F88" s="34" t="s">
        <v>126</v>
      </c>
      <c r="H88" s="35"/>
    </row>
    <row r="89" spans="1:8">
      <c r="A89" s="34" t="s">
        <v>907</v>
      </c>
      <c r="B89" s="35">
        <v>1.4999999999999999E-8</v>
      </c>
      <c r="C89" s="34" t="s">
        <v>38</v>
      </c>
      <c r="D89" s="34" t="s">
        <v>127</v>
      </c>
      <c r="F89" s="34" t="s">
        <v>126</v>
      </c>
      <c r="H89" s="35"/>
    </row>
    <row r="90" spans="1:8">
      <c r="A90" s="34" t="s">
        <v>422</v>
      </c>
      <c r="B90" s="35">
        <v>6.2000000000000002E-12</v>
      </c>
      <c r="C90" s="34" t="s">
        <v>38</v>
      </c>
      <c r="D90" s="34" t="s">
        <v>217</v>
      </c>
      <c r="F90" s="34" t="s">
        <v>126</v>
      </c>
      <c r="H90" s="35"/>
    </row>
    <row r="91" spans="1:8">
      <c r="A91" s="34" t="s">
        <v>514</v>
      </c>
      <c r="B91" s="35">
        <v>1.14E-8</v>
      </c>
      <c r="C91" s="34" t="s">
        <v>38</v>
      </c>
      <c r="D91" s="34" t="s">
        <v>217</v>
      </c>
      <c r="F91" s="34" t="s">
        <v>126</v>
      </c>
      <c r="H91" s="35"/>
    </row>
    <row r="92" spans="1:8">
      <c r="A92" s="34" t="s">
        <v>424</v>
      </c>
      <c r="B92" s="35">
        <f>(0.000315/(0.000315+1.10020168568621E-07))*0.00032</f>
        <v>3.1988827250265439E-4</v>
      </c>
      <c r="C92" s="34" t="s">
        <v>38</v>
      </c>
      <c r="D92" s="34" t="s">
        <v>127</v>
      </c>
      <c r="F92" s="34" t="s">
        <v>126</v>
      </c>
      <c r="H92" s="35"/>
    </row>
    <row r="93" spans="1:8">
      <c r="A93" s="34" t="s">
        <v>424</v>
      </c>
      <c r="B93" s="35">
        <f>(1.10020168568621E-07/(0.000315+1.10020168568621E-07))*0.00032</f>
        <v>1.1172749734560954E-7</v>
      </c>
      <c r="C93" s="34" t="s">
        <v>38</v>
      </c>
      <c r="D93" s="34" t="s">
        <v>212</v>
      </c>
      <c r="F93" s="34" t="s">
        <v>126</v>
      </c>
      <c r="H93" s="35"/>
    </row>
    <row r="94" spans="1:8">
      <c r="A94" s="34" t="s">
        <v>421</v>
      </c>
      <c r="B94" s="35">
        <v>4.1999999999999997E-11</v>
      </c>
      <c r="C94" s="34" t="s">
        <v>38</v>
      </c>
      <c r="D94" s="34" t="s">
        <v>212</v>
      </c>
      <c r="F94" s="34" t="s">
        <v>126</v>
      </c>
      <c r="H94" s="35"/>
    </row>
    <row r="95" spans="1:8">
      <c r="A95" s="34" t="s">
        <v>906</v>
      </c>
      <c r="B95" s="35">
        <v>1.8999999999999999E-10</v>
      </c>
      <c r="C95" s="34" t="s">
        <v>38</v>
      </c>
      <c r="D95" s="34" t="s">
        <v>127</v>
      </c>
      <c r="F95" s="34" t="s">
        <v>126</v>
      </c>
      <c r="H95" s="35"/>
    </row>
    <row r="96" spans="1:8">
      <c r="A96" s="34" t="s">
        <v>905</v>
      </c>
      <c r="B96" s="35">
        <f>(0.000075/(0.000075+1.89822243677843E-07))* 0.0000753</f>
        <v>7.5109899604462174E-5</v>
      </c>
      <c r="C96" s="34" t="s">
        <v>38</v>
      </c>
      <c r="D96" s="34" t="s">
        <v>127</v>
      </c>
      <c r="F96" s="34" t="s">
        <v>126</v>
      </c>
      <c r="H96" s="35"/>
    </row>
    <row r="97" spans="1:8">
      <c r="A97" s="34" t="s">
        <v>905</v>
      </c>
      <c r="B97" s="35">
        <f>(1.89822243677843E-07/(0.000075+1.89822243677843E-07))* 0.0000753</f>
        <v>1.901003955378206E-7</v>
      </c>
      <c r="C97" s="34" t="s">
        <v>38</v>
      </c>
      <c r="D97" s="34" t="s">
        <v>212</v>
      </c>
      <c r="F97" s="34" t="s">
        <v>126</v>
      </c>
      <c r="H97" s="35"/>
    </row>
    <row r="98" spans="1:8">
      <c r="A98" s="34" t="s">
        <v>904</v>
      </c>
      <c r="B98" s="35">
        <v>5.8599999999999998E-7</v>
      </c>
      <c r="C98" s="34" t="s">
        <v>38</v>
      </c>
      <c r="D98" s="34" t="s">
        <v>212</v>
      </c>
      <c r="F98" s="34" t="s">
        <v>126</v>
      </c>
      <c r="H98" s="35"/>
    </row>
    <row r="99" spans="1:8">
      <c r="A99" s="34" t="s">
        <v>125</v>
      </c>
      <c r="B99" s="35">
        <v>4.01E-7</v>
      </c>
      <c r="C99" s="34" t="s">
        <v>38</v>
      </c>
      <c r="D99" s="34" t="s">
        <v>212</v>
      </c>
      <c r="F99" s="34" t="s">
        <v>126</v>
      </c>
      <c r="H99" s="35"/>
    </row>
    <row r="100" spans="1:8">
      <c r="A100" s="34" t="s">
        <v>426</v>
      </c>
      <c r="B100" s="35">
        <v>7.4400000000000002E-10</v>
      </c>
      <c r="C100" s="34" t="s">
        <v>38</v>
      </c>
      <c r="D100" s="34" t="s">
        <v>217</v>
      </c>
      <c r="F100" s="34" t="s">
        <v>126</v>
      </c>
      <c r="H100" s="35"/>
    </row>
    <row r="101" spans="1:8">
      <c r="A101" s="34" t="s">
        <v>953</v>
      </c>
      <c r="B101" s="35">
        <v>5.64E-11</v>
      </c>
      <c r="C101" s="34" t="s">
        <v>38</v>
      </c>
      <c r="D101" s="34" t="s">
        <v>212</v>
      </c>
      <c r="F101" s="34" t="s">
        <v>126</v>
      </c>
      <c r="H101" s="35"/>
    </row>
    <row r="102" spans="1:8">
      <c r="A102" s="34" t="s">
        <v>887</v>
      </c>
      <c r="B102" s="35">
        <f>(0.000134/(0.000134+5.26350225251074E-07))*0.000131</f>
        <v>1.3048744703626883E-4</v>
      </c>
      <c r="C102" s="34" t="s">
        <v>38</v>
      </c>
      <c r="D102" s="34" t="s">
        <v>127</v>
      </c>
      <c r="F102" s="34" t="s">
        <v>126</v>
      </c>
      <c r="H102" s="35"/>
    </row>
    <row r="103" spans="1:8">
      <c r="A103" s="34" t="s">
        <v>887</v>
      </c>
      <c r="B103" s="35">
        <f>(5.26350225251074E-07/(0.000134+5.26350225251074E-07))*0.000131</f>
        <v>5.1255296373117686E-7</v>
      </c>
      <c r="C103" s="34" t="s">
        <v>38</v>
      </c>
      <c r="D103" s="34" t="s">
        <v>212</v>
      </c>
      <c r="F103" s="34" t="s">
        <v>126</v>
      </c>
      <c r="H103" s="35"/>
    </row>
    <row r="104" spans="1:8">
      <c r="A104" s="34" t="s">
        <v>432</v>
      </c>
      <c r="B104" s="35">
        <v>3.9699999999999998E-8</v>
      </c>
      <c r="C104" s="34" t="s">
        <v>38</v>
      </c>
      <c r="D104" s="34" t="s">
        <v>217</v>
      </c>
      <c r="F104" s="34" t="s">
        <v>126</v>
      </c>
      <c r="H104" s="35"/>
    </row>
    <row r="105" spans="1:8">
      <c r="A105" s="34" t="s">
        <v>595</v>
      </c>
      <c r="B105" s="35">
        <v>1.84E-5</v>
      </c>
      <c r="C105" s="34" t="s">
        <v>119</v>
      </c>
      <c r="D105" s="34" t="s">
        <v>596</v>
      </c>
      <c r="F105" s="34" t="s">
        <v>126</v>
      </c>
      <c r="H105" s="35"/>
    </row>
    <row r="106" spans="1:8">
      <c r="A106" s="34" t="s">
        <v>595</v>
      </c>
      <c r="B106" s="35">
        <v>3.2499999999999999E-3</v>
      </c>
      <c r="C106" s="34" t="s">
        <v>119</v>
      </c>
      <c r="D106" s="34" t="s">
        <v>127</v>
      </c>
      <c r="F106" s="34" t="s">
        <v>126</v>
      </c>
      <c r="H106" s="35"/>
    </row>
    <row r="107" spans="1:8">
      <c r="A107" s="34" t="s">
        <v>902</v>
      </c>
      <c r="B107" s="35">
        <v>9.0000000000000006E-5</v>
      </c>
      <c r="C107" s="34" t="s">
        <v>119</v>
      </c>
      <c r="D107" s="34" t="s">
        <v>222</v>
      </c>
      <c r="F107" s="34" t="s">
        <v>126</v>
      </c>
      <c r="H107" s="35"/>
    </row>
    <row r="108" spans="1:8">
      <c r="A108" s="34" t="s">
        <v>900</v>
      </c>
      <c r="B108" s="35">
        <v>5.62E-8</v>
      </c>
      <c r="C108" s="34" t="s">
        <v>38</v>
      </c>
      <c r="D108" s="34" t="s">
        <v>127</v>
      </c>
      <c r="F108" s="34" t="s">
        <v>126</v>
      </c>
      <c r="H108" s="35"/>
    </row>
    <row r="109" spans="1:8">
      <c r="A109" s="34" t="s">
        <v>518</v>
      </c>
      <c r="B109" s="35">
        <v>2.4800000000000001E-11</v>
      </c>
      <c r="C109" s="34" t="s">
        <v>38</v>
      </c>
      <c r="D109" s="34" t="s">
        <v>217</v>
      </c>
      <c r="F109" s="34" t="s">
        <v>126</v>
      </c>
      <c r="H109" s="35"/>
    </row>
    <row r="110" spans="1:8">
      <c r="H110" s="35"/>
    </row>
    <row r="111" spans="1:8">
      <c r="A111" s="36" t="s">
        <v>0</v>
      </c>
      <c r="B111" s="36" t="s">
        <v>948</v>
      </c>
    </row>
    <row r="112" spans="1:8">
      <c r="A112" s="34" t="s">
        <v>13</v>
      </c>
      <c r="B112" s="34" t="s">
        <v>952</v>
      </c>
    </row>
    <row r="113" spans="1:8">
      <c r="A113" s="34" t="s">
        <v>11</v>
      </c>
      <c r="B113" s="34" t="s">
        <v>636</v>
      </c>
    </row>
    <row r="114" spans="1:8">
      <c r="A114" s="34" t="s">
        <v>1</v>
      </c>
      <c r="B114" s="34" t="s">
        <v>622</v>
      </c>
    </row>
    <row r="115" spans="1:8">
      <c r="A115" s="34" t="s">
        <v>2</v>
      </c>
      <c r="B115" s="34">
        <v>1</v>
      </c>
    </row>
    <row r="116" spans="1:8">
      <c r="A116" s="34" t="s">
        <v>3</v>
      </c>
      <c r="B116" s="34" t="s">
        <v>947</v>
      </c>
    </row>
    <row r="117" spans="1:8">
      <c r="A117" s="34" t="s">
        <v>7</v>
      </c>
      <c r="B117" s="34" t="s">
        <v>38</v>
      </c>
    </row>
    <row r="118" spans="1:8">
      <c r="A118" s="36" t="s">
        <v>14</v>
      </c>
    </row>
    <row r="119" spans="1:8" s="36" customFormat="1">
      <c r="A119" s="36" t="s">
        <v>15</v>
      </c>
      <c r="B119" s="36" t="s">
        <v>16</v>
      </c>
      <c r="C119" s="36" t="s">
        <v>7</v>
      </c>
      <c r="D119" s="36" t="s">
        <v>18</v>
      </c>
      <c r="E119" s="36" t="s">
        <v>1</v>
      </c>
      <c r="F119" s="36" t="s">
        <v>5</v>
      </c>
      <c r="G119" s="36" t="s">
        <v>3</v>
      </c>
      <c r="H119" s="36" t="s">
        <v>898</v>
      </c>
    </row>
    <row r="120" spans="1:8">
      <c r="A120" s="34" t="s">
        <v>948</v>
      </c>
      <c r="B120" s="35">
        <v>1.32</v>
      </c>
      <c r="C120" s="34" t="s">
        <v>38</v>
      </c>
      <c r="E120" s="34" t="s">
        <v>622</v>
      </c>
      <c r="F120" s="34" t="s">
        <v>24</v>
      </c>
      <c r="G120" s="34" t="s">
        <v>947</v>
      </c>
      <c r="H120" s="35"/>
    </row>
    <row r="121" spans="1:8">
      <c r="A121" s="34" t="s">
        <v>951</v>
      </c>
      <c r="B121" s="34">
        <v>1.46</v>
      </c>
      <c r="C121" s="34" t="s">
        <v>38</v>
      </c>
      <c r="E121" s="34" t="s">
        <v>622</v>
      </c>
      <c r="F121" s="34" t="s">
        <v>26</v>
      </c>
      <c r="G121" s="34" t="s">
        <v>950</v>
      </c>
    </row>
    <row r="122" spans="1:8">
      <c r="A122" s="34" t="s">
        <v>946</v>
      </c>
      <c r="B122" s="35">
        <v>3.0000000000000001E-3</v>
      </c>
      <c r="C122" s="34" t="s">
        <v>38</v>
      </c>
      <c r="E122" s="34" t="s">
        <v>34</v>
      </c>
      <c r="F122" s="34" t="s">
        <v>26</v>
      </c>
      <c r="G122" s="34" t="s">
        <v>945</v>
      </c>
    </row>
    <row r="123" spans="1:8">
      <c r="A123" s="34" t="s">
        <v>1291</v>
      </c>
      <c r="B123" s="35">
        <v>3.9999999999999998E-11</v>
      </c>
      <c r="C123" s="34" t="s">
        <v>7</v>
      </c>
      <c r="E123" s="34" t="s">
        <v>34</v>
      </c>
      <c r="F123" s="34" t="s">
        <v>26</v>
      </c>
      <c r="G123" s="34" t="s">
        <v>1292</v>
      </c>
    </row>
    <row r="124" spans="1:8">
      <c r="A124" s="34" t="s">
        <v>944</v>
      </c>
      <c r="B124" s="35">
        <v>9.5999999999999992E-3</v>
      </c>
      <c r="C124" s="34" t="s">
        <v>38</v>
      </c>
      <c r="E124" s="34" t="s">
        <v>51</v>
      </c>
      <c r="F124" s="34" t="s">
        <v>26</v>
      </c>
      <c r="G124" s="34" t="s">
        <v>943</v>
      </c>
    </row>
    <row r="125" spans="1:8">
      <c r="A125" s="34" t="s">
        <v>942</v>
      </c>
      <c r="B125" s="35">
        <v>-9.2799999999999994E-2</v>
      </c>
      <c r="C125" s="34" t="s">
        <v>38</v>
      </c>
      <c r="E125" s="34" t="s">
        <v>51</v>
      </c>
      <c r="F125" s="34" t="s">
        <v>26</v>
      </c>
      <c r="G125" s="34" t="s">
        <v>941</v>
      </c>
    </row>
    <row r="126" spans="1:8">
      <c r="A126" s="34" t="s">
        <v>365</v>
      </c>
      <c r="B126" s="34">
        <v>0.42</v>
      </c>
      <c r="C126" s="34" t="s">
        <v>8</v>
      </c>
      <c r="E126" s="34" t="s">
        <v>622</v>
      </c>
      <c r="F126" s="34" t="s">
        <v>26</v>
      </c>
      <c r="G126" s="34" t="s">
        <v>366</v>
      </c>
    </row>
    <row r="127" spans="1:8">
      <c r="A127" s="34" t="s">
        <v>932</v>
      </c>
      <c r="B127" s="35">
        <v>1.4E-2</v>
      </c>
      <c r="C127" s="34" t="s">
        <v>38</v>
      </c>
      <c r="E127" s="34" t="s">
        <v>622</v>
      </c>
      <c r="F127" s="34" t="s">
        <v>26</v>
      </c>
      <c r="G127" s="34" t="s">
        <v>931</v>
      </c>
    </row>
    <row r="128" spans="1:8">
      <c r="A128" s="61" t="s">
        <v>930</v>
      </c>
      <c r="B128" s="35">
        <v>-5.0000000000000001E-3</v>
      </c>
      <c r="C128" s="34" t="s">
        <v>38</v>
      </c>
      <c r="E128" s="34" t="s">
        <v>51</v>
      </c>
      <c r="F128" s="34" t="s">
        <v>26</v>
      </c>
      <c r="G128" s="34" t="s">
        <v>929</v>
      </c>
    </row>
    <row r="129" spans="1:7">
      <c r="A129" s="34" t="s">
        <v>926</v>
      </c>
      <c r="B129" s="35">
        <v>2.5000000000000001E-2</v>
      </c>
      <c r="C129" s="34" t="s">
        <v>119</v>
      </c>
      <c r="E129" s="34" t="s">
        <v>51</v>
      </c>
      <c r="F129" s="34" t="s">
        <v>26</v>
      </c>
      <c r="G129" s="34" t="s">
        <v>925</v>
      </c>
    </row>
    <row r="130" spans="1:7">
      <c r="A130" s="34" t="s">
        <v>287</v>
      </c>
      <c r="B130" s="35">
        <v>5.0700000000000002E-2</v>
      </c>
      <c r="C130" s="34" t="s">
        <v>38</v>
      </c>
      <c r="E130" s="34" t="s">
        <v>51</v>
      </c>
      <c r="F130" s="34" t="s">
        <v>26</v>
      </c>
      <c r="G130" s="34" t="s">
        <v>288</v>
      </c>
    </row>
    <row r="131" spans="1:7">
      <c r="A131" s="34" t="s">
        <v>922</v>
      </c>
      <c r="B131" s="35">
        <v>5.5E-2</v>
      </c>
      <c r="C131" s="34" t="s">
        <v>38</v>
      </c>
      <c r="E131" s="34" t="s">
        <v>51</v>
      </c>
      <c r="F131" s="34" t="s">
        <v>26</v>
      </c>
      <c r="G131" s="34" t="s">
        <v>921</v>
      </c>
    </row>
    <row r="132" spans="1:7">
      <c r="A132" s="34" t="s">
        <v>920</v>
      </c>
      <c r="B132" s="35">
        <v>1.35E-2</v>
      </c>
      <c r="C132" s="34" t="s">
        <v>38</v>
      </c>
      <c r="E132" s="34" t="s">
        <v>34</v>
      </c>
      <c r="F132" s="34" t="s">
        <v>26</v>
      </c>
      <c r="G132" s="34" t="s">
        <v>919</v>
      </c>
    </row>
    <row r="133" spans="1:7">
      <c r="A133" s="34" t="s">
        <v>917</v>
      </c>
      <c r="B133" s="35">
        <v>2.3099999999999999E-6</v>
      </c>
      <c r="C133" s="34" t="s">
        <v>38</v>
      </c>
      <c r="D133" s="34" t="s">
        <v>127</v>
      </c>
      <c r="F133" s="34" t="s">
        <v>126</v>
      </c>
    </row>
    <row r="134" spans="1:7">
      <c r="A134" s="34" t="s">
        <v>916</v>
      </c>
      <c r="B134" s="35">
        <v>3.6500000000000003E-8</v>
      </c>
      <c r="C134" s="34" t="s">
        <v>38</v>
      </c>
      <c r="D134" s="34" t="s">
        <v>127</v>
      </c>
      <c r="F134" s="34" t="s">
        <v>126</v>
      </c>
    </row>
    <row r="135" spans="1:7">
      <c r="A135" s="34" t="s">
        <v>915</v>
      </c>
      <c r="B135" s="35">
        <v>2.32E-3</v>
      </c>
      <c r="C135" s="34" t="s">
        <v>38</v>
      </c>
      <c r="D135" s="34" t="s">
        <v>127</v>
      </c>
      <c r="F135" s="34" t="s">
        <v>126</v>
      </c>
    </row>
    <row r="136" spans="1:7">
      <c r="A136" s="34" t="s">
        <v>914</v>
      </c>
      <c r="B136" s="35">
        <v>1.2500000000000001E-6</v>
      </c>
      <c r="C136" s="34" t="s">
        <v>38</v>
      </c>
      <c r="D136" s="34" t="s">
        <v>127</v>
      </c>
      <c r="F136" s="34" t="s">
        <v>126</v>
      </c>
    </row>
    <row r="137" spans="1:7">
      <c r="A137" s="34" t="s">
        <v>912</v>
      </c>
      <c r="B137" s="35">
        <v>2.3099999999999999E-7</v>
      </c>
      <c r="C137" s="34" t="s">
        <v>38</v>
      </c>
      <c r="D137" s="34" t="s">
        <v>127</v>
      </c>
      <c r="F137" s="34" t="s">
        <v>126</v>
      </c>
    </row>
    <row r="138" spans="1:7">
      <c r="A138" s="34" t="s">
        <v>911</v>
      </c>
      <c r="B138" s="35">
        <v>4.5399999999999996E-12</v>
      </c>
      <c r="C138" s="34" t="s">
        <v>38</v>
      </c>
      <c r="D138" s="34" t="s">
        <v>127</v>
      </c>
      <c r="F138" s="34" t="s">
        <v>126</v>
      </c>
    </row>
    <row r="139" spans="1:7">
      <c r="A139" s="34" t="s">
        <v>736</v>
      </c>
      <c r="B139" s="35">
        <v>7.7000000000000001E-5</v>
      </c>
      <c r="C139" s="34" t="s">
        <v>38</v>
      </c>
      <c r="D139" s="34" t="s">
        <v>127</v>
      </c>
      <c r="F139" s="34" t="s">
        <v>126</v>
      </c>
    </row>
    <row r="140" spans="1:7">
      <c r="A140" s="34" t="s">
        <v>910</v>
      </c>
      <c r="B140" s="35">
        <v>5.2000000000000002E-6</v>
      </c>
      <c r="C140" s="34" t="s">
        <v>38</v>
      </c>
      <c r="D140" s="34" t="s">
        <v>127</v>
      </c>
      <c r="F140" s="34" t="s">
        <v>126</v>
      </c>
    </row>
    <row r="141" spans="1:7">
      <c r="A141" s="34" t="s">
        <v>513</v>
      </c>
      <c r="B141" s="35">
        <v>2.3499999999999999E-6</v>
      </c>
      <c r="C141" s="34" t="s">
        <v>38</v>
      </c>
      <c r="D141" s="34" t="s">
        <v>127</v>
      </c>
      <c r="F141" s="34" t="s">
        <v>126</v>
      </c>
    </row>
    <row r="142" spans="1:7">
      <c r="A142" s="34" t="s">
        <v>909</v>
      </c>
      <c r="B142" s="35">
        <v>1.81E-6</v>
      </c>
      <c r="C142" s="34" t="s">
        <v>38</v>
      </c>
      <c r="D142" s="34" t="s">
        <v>127</v>
      </c>
      <c r="F142" s="34" t="s">
        <v>126</v>
      </c>
    </row>
    <row r="143" spans="1:7">
      <c r="A143" s="34" t="s">
        <v>908</v>
      </c>
      <c r="B143" s="35">
        <v>2.2400000000000002E-6</v>
      </c>
      <c r="C143" s="34" t="s">
        <v>38</v>
      </c>
      <c r="D143" s="34" t="s">
        <v>127</v>
      </c>
      <c r="F143" s="34" t="s">
        <v>126</v>
      </c>
    </row>
    <row r="144" spans="1:7">
      <c r="A144" s="34" t="s">
        <v>907</v>
      </c>
      <c r="B144" s="35">
        <v>7.0100000000000004E-7</v>
      </c>
      <c r="C144" s="34" t="s">
        <v>38</v>
      </c>
      <c r="D144" s="34" t="s">
        <v>127</v>
      </c>
      <c r="F144" s="34" t="s">
        <v>126</v>
      </c>
    </row>
    <row r="145" spans="1:6">
      <c r="A145" s="34" t="s">
        <v>424</v>
      </c>
      <c r="B145" s="35">
        <v>1.8000000000000001E-4</v>
      </c>
      <c r="C145" s="34" t="s">
        <v>38</v>
      </c>
      <c r="D145" s="34" t="s">
        <v>127</v>
      </c>
      <c r="F145" s="34" t="s">
        <v>126</v>
      </c>
    </row>
    <row r="146" spans="1:6">
      <c r="A146" s="34" t="s">
        <v>906</v>
      </c>
      <c r="B146" s="35">
        <v>3.7300000000000003E-8</v>
      </c>
      <c r="C146" s="34" t="s">
        <v>38</v>
      </c>
      <c r="D146" s="34" t="s">
        <v>127</v>
      </c>
      <c r="F146" s="34" t="s">
        <v>126</v>
      </c>
    </row>
    <row r="147" spans="1:6">
      <c r="A147" s="34" t="s">
        <v>905</v>
      </c>
      <c r="B147" s="35">
        <v>1.7000000000000001E-4</v>
      </c>
      <c r="C147" s="34" t="s">
        <v>38</v>
      </c>
      <c r="D147" s="34" t="s">
        <v>127</v>
      </c>
      <c r="F147" s="34" t="s">
        <v>126</v>
      </c>
    </row>
    <row r="148" spans="1:6">
      <c r="A148" s="34" t="s">
        <v>904</v>
      </c>
      <c r="B148" s="35">
        <v>5.8600000000000001E-5</v>
      </c>
      <c r="C148" s="34" t="s">
        <v>38</v>
      </c>
      <c r="D148" s="34" t="s">
        <v>127</v>
      </c>
      <c r="F148" s="34" t="s">
        <v>126</v>
      </c>
    </row>
    <row r="149" spans="1:6">
      <c r="A149" s="34" t="s">
        <v>125</v>
      </c>
      <c r="B149" s="35">
        <v>1.7000000000000001E-4</v>
      </c>
      <c r="C149" s="34" t="s">
        <v>38</v>
      </c>
      <c r="D149" s="34" t="s">
        <v>127</v>
      </c>
      <c r="F149" s="34" t="s">
        <v>126</v>
      </c>
    </row>
    <row r="150" spans="1:6">
      <c r="A150" s="34" t="s">
        <v>903</v>
      </c>
      <c r="B150" s="35">
        <v>2.33E-8</v>
      </c>
      <c r="C150" s="34" t="s">
        <v>38</v>
      </c>
      <c r="D150" s="34" t="s">
        <v>127</v>
      </c>
      <c r="F150" s="34" t="s">
        <v>126</v>
      </c>
    </row>
    <row r="151" spans="1:6">
      <c r="A151" s="34" t="s">
        <v>887</v>
      </c>
      <c r="B151" s="35">
        <v>7.7000000000000001E-5</v>
      </c>
      <c r="C151" s="34" t="s">
        <v>38</v>
      </c>
      <c r="D151" s="34" t="s">
        <v>127</v>
      </c>
      <c r="F151" s="34" t="s">
        <v>126</v>
      </c>
    </row>
    <row r="152" spans="1:6">
      <c r="A152" s="34" t="s">
        <v>595</v>
      </c>
      <c r="B152" s="35">
        <v>3.2000000000000002E-3</v>
      </c>
      <c r="C152" s="34" t="s">
        <v>119</v>
      </c>
      <c r="D152" s="34" t="s">
        <v>596</v>
      </c>
      <c r="F152" s="34" t="s">
        <v>126</v>
      </c>
    </row>
    <row r="153" spans="1:6">
      <c r="A153" s="34" t="s">
        <v>595</v>
      </c>
      <c r="B153" s="35">
        <v>2.0213444046306502E-3</v>
      </c>
      <c r="C153" s="34" t="s">
        <v>119</v>
      </c>
      <c r="D153" s="34" t="s">
        <v>127</v>
      </c>
      <c r="F153" s="34" t="s">
        <v>126</v>
      </c>
    </row>
    <row r="154" spans="1:6">
      <c r="A154" s="34" t="s">
        <v>597</v>
      </c>
      <c r="B154" s="35">
        <v>5.2199999999999998E-3</v>
      </c>
      <c r="C154" s="34" t="s">
        <v>119</v>
      </c>
      <c r="D154" s="34" t="s">
        <v>222</v>
      </c>
      <c r="F154" s="34" t="s">
        <v>126</v>
      </c>
    </row>
    <row r="155" spans="1:6">
      <c r="A155" s="34" t="s">
        <v>900</v>
      </c>
      <c r="B155" s="35">
        <v>2.2900000000000001E-5</v>
      </c>
      <c r="C155" s="34" t="s">
        <v>38</v>
      </c>
      <c r="D155" s="34" t="s">
        <v>127</v>
      </c>
      <c r="F155" s="34" t="s">
        <v>126</v>
      </c>
    </row>
    <row r="156" spans="1:6">
      <c r="B156" s="35"/>
    </row>
    <row r="157" spans="1:6">
      <c r="A157" s="36" t="s">
        <v>0</v>
      </c>
      <c r="B157" s="36" t="s">
        <v>897</v>
      </c>
    </row>
    <row r="158" spans="1:6">
      <c r="A158" s="34" t="s">
        <v>13</v>
      </c>
      <c r="B158" s="34" t="s">
        <v>949</v>
      </c>
    </row>
    <row r="159" spans="1:6">
      <c r="A159" s="34" t="s">
        <v>11</v>
      </c>
      <c r="B159" s="34" t="s">
        <v>636</v>
      </c>
    </row>
    <row r="160" spans="1:6">
      <c r="A160" s="34" t="s">
        <v>1</v>
      </c>
      <c r="B160" s="34" t="s">
        <v>622</v>
      </c>
    </row>
    <row r="161" spans="1:9">
      <c r="A161" s="34" t="s">
        <v>2</v>
      </c>
      <c r="B161" s="34">
        <v>1</v>
      </c>
    </row>
    <row r="162" spans="1:9">
      <c r="A162" s="34" t="s">
        <v>3</v>
      </c>
      <c r="B162" s="34" t="s">
        <v>896</v>
      </c>
    </row>
    <row r="163" spans="1:9">
      <c r="A163" s="34" t="s">
        <v>7</v>
      </c>
      <c r="B163" s="34" t="s">
        <v>38</v>
      </c>
    </row>
    <row r="164" spans="1:9">
      <c r="A164" s="36" t="s">
        <v>14</v>
      </c>
    </row>
    <row r="165" spans="1:9" s="36" customFormat="1">
      <c r="A165" s="36" t="s">
        <v>15</v>
      </c>
      <c r="B165" s="36" t="s">
        <v>16</v>
      </c>
      <c r="C165" s="36" t="s">
        <v>7</v>
      </c>
      <c r="D165" s="36" t="s">
        <v>18</v>
      </c>
      <c r="E165" s="36" t="s">
        <v>1</v>
      </c>
      <c r="F165" s="36" t="s">
        <v>5</v>
      </c>
      <c r="G165" s="36" t="s">
        <v>3</v>
      </c>
      <c r="H165" s="36" t="s">
        <v>898</v>
      </c>
    </row>
    <row r="166" spans="1:9">
      <c r="A166" s="34" t="s">
        <v>897</v>
      </c>
      <c r="B166" s="35">
        <v>1</v>
      </c>
      <c r="C166" s="34" t="s">
        <v>38</v>
      </c>
      <c r="E166" s="34" t="s">
        <v>622</v>
      </c>
      <c r="F166" s="34" t="s">
        <v>24</v>
      </c>
      <c r="G166" s="34" t="s">
        <v>896</v>
      </c>
      <c r="H166" s="35"/>
      <c r="I166" s="35"/>
    </row>
    <row r="167" spans="1:9">
      <c r="A167" s="34" t="s">
        <v>948</v>
      </c>
      <c r="B167" s="35">
        <v>10.766721044045678</v>
      </c>
      <c r="C167" s="34" t="s">
        <v>38</v>
      </c>
      <c r="E167" s="34" t="s">
        <v>622</v>
      </c>
      <c r="F167" s="34" t="s">
        <v>26</v>
      </c>
      <c r="G167" s="34" t="s">
        <v>947</v>
      </c>
      <c r="H167" s="35"/>
      <c r="I167" s="35"/>
    </row>
    <row r="168" spans="1:9">
      <c r="A168" s="34" t="s">
        <v>44</v>
      </c>
      <c r="B168" s="35">
        <v>1.2071778140293638E-4</v>
      </c>
      <c r="C168" s="34" t="s">
        <v>38</v>
      </c>
      <c r="E168" s="34" t="s">
        <v>34</v>
      </c>
      <c r="F168" s="34" t="s">
        <v>26</v>
      </c>
      <c r="G168" s="34" t="s">
        <v>45</v>
      </c>
      <c r="H168" s="35"/>
      <c r="I168" s="35"/>
    </row>
    <row r="169" spans="1:9">
      <c r="A169" s="34" t="s">
        <v>946</v>
      </c>
      <c r="B169" s="35">
        <v>2.4469820554649267E-2</v>
      </c>
      <c r="C169" s="34" t="s">
        <v>38</v>
      </c>
      <c r="E169" s="34" t="s">
        <v>34</v>
      </c>
      <c r="F169" s="34" t="s">
        <v>26</v>
      </c>
      <c r="G169" s="34" t="s">
        <v>945</v>
      </c>
      <c r="H169" s="35"/>
      <c r="I169" s="35"/>
    </row>
    <row r="170" spans="1:9">
      <c r="A170" s="34" t="s">
        <v>242</v>
      </c>
      <c r="B170" s="35">
        <v>2.6835236541598695E-2</v>
      </c>
      <c r="C170" s="34" t="s">
        <v>38</v>
      </c>
      <c r="E170" s="34" t="s">
        <v>51</v>
      </c>
      <c r="F170" s="34" t="s">
        <v>26</v>
      </c>
      <c r="G170" s="34" t="s">
        <v>244</v>
      </c>
      <c r="H170" s="35"/>
      <c r="I170" s="35"/>
    </row>
    <row r="171" spans="1:9">
      <c r="A171" s="34" t="s">
        <v>253</v>
      </c>
      <c r="B171" s="35">
        <v>4.200652528548124E-4</v>
      </c>
      <c r="C171" s="34" t="s">
        <v>38</v>
      </c>
      <c r="E171" s="34" t="s">
        <v>34</v>
      </c>
      <c r="F171" s="34" t="s">
        <v>26</v>
      </c>
      <c r="G171" s="34" t="s">
        <v>254</v>
      </c>
      <c r="H171" s="35"/>
      <c r="I171" s="35"/>
    </row>
    <row r="172" spans="1:9">
      <c r="A172" s="34" t="s">
        <v>31</v>
      </c>
      <c r="B172" s="35">
        <v>2.8221859706362151E-2</v>
      </c>
      <c r="C172" s="34" t="s">
        <v>33</v>
      </c>
      <c r="E172" s="34" t="s">
        <v>34</v>
      </c>
      <c r="F172" s="34" t="s">
        <v>26</v>
      </c>
      <c r="G172" s="34" t="s">
        <v>32</v>
      </c>
      <c r="H172" s="35"/>
      <c r="I172" s="35"/>
    </row>
    <row r="173" spans="1:9">
      <c r="A173" s="61" t="s">
        <v>1291</v>
      </c>
      <c r="B173" s="35">
        <v>3.262642740619902E-10</v>
      </c>
      <c r="C173" s="34" t="s">
        <v>7</v>
      </c>
      <c r="E173" s="34" t="s">
        <v>34</v>
      </c>
      <c r="F173" s="34" t="s">
        <v>26</v>
      </c>
      <c r="G173" s="61" t="s">
        <v>1292</v>
      </c>
      <c r="H173" s="35"/>
      <c r="I173" s="35"/>
    </row>
    <row r="174" spans="1:9">
      <c r="A174" s="34" t="s">
        <v>944</v>
      </c>
      <c r="B174" s="35">
        <v>-7.8303425774877644E-2</v>
      </c>
      <c r="C174" s="34" t="s">
        <v>38</v>
      </c>
      <c r="E174" s="34" t="s">
        <v>51</v>
      </c>
      <c r="F174" s="34" t="s">
        <v>26</v>
      </c>
      <c r="G174" s="34" t="s">
        <v>943</v>
      </c>
      <c r="H174" s="35"/>
      <c r="I174" s="35"/>
    </row>
    <row r="175" spans="1:9">
      <c r="A175" s="34" t="s">
        <v>942</v>
      </c>
      <c r="B175" s="35">
        <v>0.75693311582381728</v>
      </c>
      <c r="C175" s="34" t="s">
        <v>38</v>
      </c>
      <c r="E175" s="34" t="s">
        <v>51</v>
      </c>
      <c r="F175" s="34" t="s">
        <v>26</v>
      </c>
      <c r="G175" s="34" t="s">
        <v>941</v>
      </c>
      <c r="H175" s="35"/>
      <c r="I175" s="35"/>
    </row>
    <row r="176" spans="1:9">
      <c r="A176" s="34" t="s">
        <v>942</v>
      </c>
      <c r="B176" s="35">
        <v>-0.40619902120717777</v>
      </c>
      <c r="C176" s="34" t="s">
        <v>38</v>
      </c>
      <c r="E176" s="34" t="s">
        <v>51</v>
      </c>
      <c r="F176" s="34" t="s">
        <v>26</v>
      </c>
      <c r="G176" s="34" t="s">
        <v>941</v>
      </c>
      <c r="H176" s="35"/>
      <c r="I176" s="35"/>
    </row>
    <row r="177" spans="1:9">
      <c r="A177" s="34" t="s">
        <v>195</v>
      </c>
      <c r="B177" s="35">
        <v>0.28221859706362151</v>
      </c>
      <c r="C177" s="34" t="s">
        <v>8</v>
      </c>
      <c r="E177" s="34" t="s">
        <v>622</v>
      </c>
      <c r="F177" s="34" t="s">
        <v>26</v>
      </c>
      <c r="G177" s="34" t="s">
        <v>4</v>
      </c>
      <c r="H177" s="35"/>
      <c r="I177" s="35"/>
    </row>
    <row r="178" spans="1:9">
      <c r="A178" s="34" t="s">
        <v>365</v>
      </c>
      <c r="B178" s="35">
        <v>4.4045676998368677</v>
      </c>
      <c r="C178" s="34" t="s">
        <v>8</v>
      </c>
      <c r="E178" s="34" t="s">
        <v>622</v>
      </c>
      <c r="F178" s="34" t="s">
        <v>26</v>
      </c>
      <c r="G178" s="34" t="s">
        <v>366</v>
      </c>
      <c r="I178" s="35"/>
    </row>
    <row r="179" spans="1:9">
      <c r="A179" s="34" t="s">
        <v>940</v>
      </c>
      <c r="B179" s="35">
        <v>2.7079934747145184E-7</v>
      </c>
      <c r="C179" s="34" t="s">
        <v>38</v>
      </c>
      <c r="E179" s="61" t="s">
        <v>20</v>
      </c>
      <c r="F179" s="34" t="s">
        <v>26</v>
      </c>
      <c r="G179" s="34" t="s">
        <v>939</v>
      </c>
      <c r="H179" s="35"/>
      <c r="I179" s="35"/>
    </row>
    <row r="180" spans="1:9">
      <c r="A180" s="34" t="s">
        <v>938</v>
      </c>
      <c r="B180" s="35">
        <v>8.9722675367047314E-4</v>
      </c>
      <c r="C180" s="34" t="s">
        <v>38</v>
      </c>
      <c r="E180" s="34" t="s">
        <v>34</v>
      </c>
      <c r="F180" s="34" t="s">
        <v>26</v>
      </c>
      <c r="G180" s="34" t="s">
        <v>937</v>
      </c>
      <c r="H180" s="35"/>
      <c r="I180" s="35"/>
    </row>
    <row r="181" spans="1:9">
      <c r="A181" s="34" t="s">
        <v>936</v>
      </c>
      <c r="B181" s="35">
        <v>3.6296900489396407E-4</v>
      </c>
      <c r="C181" s="34" t="s">
        <v>38</v>
      </c>
      <c r="E181" s="34" t="s">
        <v>34</v>
      </c>
      <c r="F181" s="34" t="s">
        <v>26</v>
      </c>
      <c r="G181" s="34" t="s">
        <v>935</v>
      </c>
      <c r="H181" s="35"/>
      <c r="I181" s="35"/>
    </row>
    <row r="182" spans="1:9">
      <c r="A182" s="34" t="s">
        <v>934</v>
      </c>
      <c r="B182" s="35">
        <v>3.0179445350734097E-2</v>
      </c>
      <c r="C182" s="34" t="s">
        <v>38</v>
      </c>
      <c r="E182" s="34" t="s">
        <v>34</v>
      </c>
      <c r="F182" s="34" t="s">
        <v>26</v>
      </c>
      <c r="G182" s="34" t="s">
        <v>933</v>
      </c>
      <c r="H182" s="35"/>
      <c r="I182" s="35"/>
    </row>
    <row r="183" spans="1:9">
      <c r="A183" s="34" t="s">
        <v>932</v>
      </c>
      <c r="B183" s="35">
        <v>0.11419249592169657</v>
      </c>
      <c r="C183" s="34" t="s">
        <v>38</v>
      </c>
      <c r="E183" s="34" t="s">
        <v>622</v>
      </c>
      <c r="F183" s="34" t="s">
        <v>26</v>
      </c>
      <c r="G183" s="34" t="s">
        <v>931</v>
      </c>
      <c r="H183" s="35"/>
      <c r="I183" s="35"/>
    </row>
    <row r="184" spans="1:9">
      <c r="A184" s="34" t="s">
        <v>651</v>
      </c>
      <c r="B184" s="35">
        <v>10.032626427406198</v>
      </c>
      <c r="C184" s="34" t="s">
        <v>33</v>
      </c>
      <c r="E184" s="34" t="s">
        <v>51</v>
      </c>
      <c r="F184" s="34" t="s">
        <v>26</v>
      </c>
      <c r="G184" s="34" t="s">
        <v>493</v>
      </c>
      <c r="I184" s="35"/>
    </row>
    <row r="185" spans="1:9">
      <c r="A185" s="34" t="s">
        <v>930</v>
      </c>
      <c r="B185" s="35">
        <v>-4.0783034257748776E-2</v>
      </c>
      <c r="C185" s="34" t="s">
        <v>38</v>
      </c>
      <c r="E185" s="34" t="s">
        <v>51</v>
      </c>
      <c r="F185" s="34" t="s">
        <v>26</v>
      </c>
      <c r="G185" s="34" t="s">
        <v>929</v>
      </c>
      <c r="H185" s="35"/>
      <c r="I185" s="35"/>
    </row>
    <row r="186" spans="1:9">
      <c r="A186" s="34" t="s">
        <v>841</v>
      </c>
      <c r="B186" s="35">
        <v>-4.200652528548124E-4</v>
      </c>
      <c r="C186" s="34" t="s">
        <v>38</v>
      </c>
      <c r="E186" s="34" t="s">
        <v>34</v>
      </c>
      <c r="F186" s="34" t="s">
        <v>26</v>
      </c>
      <c r="G186" s="34" t="s">
        <v>842</v>
      </c>
      <c r="H186" s="35"/>
      <c r="I186" s="35"/>
    </row>
    <row r="187" spans="1:9">
      <c r="A187" s="34" t="s">
        <v>928</v>
      </c>
      <c r="B187" s="35">
        <v>1.1500815660685156E-4</v>
      </c>
      <c r="C187" s="34" t="s">
        <v>38</v>
      </c>
      <c r="E187" s="34" t="s">
        <v>34</v>
      </c>
      <c r="F187" s="34" t="s">
        <v>26</v>
      </c>
      <c r="G187" s="34" t="s">
        <v>927</v>
      </c>
      <c r="H187" s="35"/>
      <c r="I187" s="35"/>
    </row>
    <row r="188" spans="1:9">
      <c r="A188" s="34" t="s">
        <v>926</v>
      </c>
      <c r="B188" s="35">
        <v>0.2039151712887439</v>
      </c>
      <c r="C188" s="34" t="s">
        <v>119</v>
      </c>
      <c r="E188" s="34" t="s">
        <v>51</v>
      </c>
      <c r="F188" s="34" t="s">
        <v>26</v>
      </c>
      <c r="G188" s="34" t="s">
        <v>925</v>
      </c>
      <c r="H188" s="35"/>
      <c r="I188" s="35"/>
    </row>
    <row r="189" spans="1:9">
      <c r="A189" s="34" t="s">
        <v>465</v>
      </c>
      <c r="B189" s="35">
        <v>2.707993474714519E-4</v>
      </c>
      <c r="C189" s="34" t="s">
        <v>38</v>
      </c>
      <c r="E189" s="34" t="s">
        <v>34</v>
      </c>
      <c r="F189" s="34" t="s">
        <v>26</v>
      </c>
      <c r="G189" s="34" t="s">
        <v>466</v>
      </c>
      <c r="H189" s="35"/>
      <c r="I189" s="35"/>
    </row>
    <row r="190" spans="1:9">
      <c r="A190" s="34" t="s">
        <v>287</v>
      </c>
      <c r="B190" s="35">
        <v>0.41353996737357263</v>
      </c>
      <c r="C190" s="34" t="s">
        <v>38</v>
      </c>
      <c r="E190" s="34" t="s">
        <v>51</v>
      </c>
      <c r="F190" s="34" t="s">
        <v>26</v>
      </c>
      <c r="G190" s="34" t="s">
        <v>288</v>
      </c>
      <c r="H190" s="35"/>
      <c r="I190" s="35"/>
    </row>
    <row r="191" spans="1:9">
      <c r="A191" s="34" t="s">
        <v>924</v>
      </c>
      <c r="B191" s="35">
        <v>2.226753670473083E-2</v>
      </c>
      <c r="C191" s="34" t="s">
        <v>33</v>
      </c>
      <c r="E191" s="34" t="s">
        <v>34</v>
      </c>
      <c r="F191" s="34" t="s">
        <v>26</v>
      </c>
      <c r="G191" s="34" t="s">
        <v>923</v>
      </c>
      <c r="H191" s="35"/>
      <c r="I191" s="35"/>
    </row>
    <row r="192" spans="1:9">
      <c r="A192" s="34" t="s">
        <v>922</v>
      </c>
      <c r="B192" s="35">
        <v>0.44861337683523655</v>
      </c>
      <c r="C192" s="34" t="s">
        <v>38</v>
      </c>
      <c r="E192" s="34" t="s">
        <v>51</v>
      </c>
      <c r="F192" s="34" t="s">
        <v>26</v>
      </c>
      <c r="G192" s="34" t="s">
        <v>921</v>
      </c>
      <c r="H192" s="35"/>
      <c r="I192" s="35"/>
    </row>
    <row r="193" spans="1:9">
      <c r="A193" s="34" t="s">
        <v>920</v>
      </c>
      <c r="B193" s="35">
        <v>0.11011419249592169</v>
      </c>
      <c r="C193" s="34" t="s">
        <v>38</v>
      </c>
      <c r="E193" s="34" t="s">
        <v>34</v>
      </c>
      <c r="F193" s="34" t="s">
        <v>26</v>
      </c>
      <c r="G193" s="34" t="s">
        <v>919</v>
      </c>
      <c r="H193" s="35"/>
      <c r="I193" s="35"/>
    </row>
    <row r="194" spans="1:9">
      <c r="A194" s="34" t="s">
        <v>889</v>
      </c>
      <c r="B194" s="35">
        <v>-2.7079934747145184E-7</v>
      </c>
      <c r="C194" s="34" t="s">
        <v>38</v>
      </c>
      <c r="E194" s="34" t="s">
        <v>51</v>
      </c>
      <c r="F194" s="34" t="s">
        <v>26</v>
      </c>
      <c r="G194" s="34" t="s">
        <v>888</v>
      </c>
      <c r="H194" s="35"/>
      <c r="I194" s="35"/>
    </row>
    <row r="195" spans="1:9">
      <c r="A195" s="34" t="s">
        <v>918</v>
      </c>
      <c r="B195" s="35">
        <v>2.6835236541598695E-2</v>
      </c>
      <c r="C195" s="34" t="s">
        <v>38</v>
      </c>
      <c r="D195" s="34" t="s">
        <v>127</v>
      </c>
      <c r="F195" s="34" t="s">
        <v>126</v>
      </c>
      <c r="H195" s="35"/>
      <c r="I195" s="35"/>
    </row>
    <row r="196" spans="1:9">
      <c r="A196" s="34" t="s">
        <v>917</v>
      </c>
      <c r="B196" s="35">
        <v>1.867862969004894E-5</v>
      </c>
      <c r="C196" s="34" t="s">
        <v>38</v>
      </c>
      <c r="D196" s="34" t="s">
        <v>127</v>
      </c>
      <c r="F196" s="34" t="s">
        <v>126</v>
      </c>
      <c r="H196" s="35"/>
      <c r="I196" s="35"/>
    </row>
    <row r="197" spans="1:9">
      <c r="A197" s="61" t="s">
        <v>1297</v>
      </c>
      <c r="B197" s="35">
        <v>1.6313213703099511E-7</v>
      </c>
      <c r="C197" s="34" t="s">
        <v>38</v>
      </c>
      <c r="D197" s="34" t="s">
        <v>127</v>
      </c>
      <c r="F197" s="34" t="s">
        <v>126</v>
      </c>
      <c r="H197" s="35"/>
      <c r="I197" s="35"/>
    </row>
    <row r="198" spans="1:9">
      <c r="A198" s="34" t="s">
        <v>916</v>
      </c>
      <c r="B198" s="35">
        <v>2.7991821514884684E-7</v>
      </c>
      <c r="C198" s="34" t="s">
        <v>38</v>
      </c>
      <c r="D198" s="34" t="s">
        <v>127</v>
      </c>
      <c r="F198" s="34" t="s">
        <v>126</v>
      </c>
      <c r="H198" s="35"/>
      <c r="I198" s="35"/>
    </row>
    <row r="199" spans="1:9">
      <c r="A199" s="34" t="s">
        <v>916</v>
      </c>
      <c r="B199" s="35">
        <v>1.7797934932719244E-8</v>
      </c>
      <c r="C199" s="34" t="s">
        <v>38</v>
      </c>
      <c r="D199" s="34" t="s">
        <v>901</v>
      </c>
      <c r="F199" s="34" t="s">
        <v>126</v>
      </c>
      <c r="H199" s="35"/>
      <c r="I199" s="35"/>
    </row>
    <row r="200" spans="1:9">
      <c r="A200" s="34" t="s">
        <v>915</v>
      </c>
      <c r="B200" s="35">
        <v>1.8118918608107184E-2</v>
      </c>
      <c r="C200" s="34" t="s">
        <v>38</v>
      </c>
      <c r="D200" s="34" t="s">
        <v>127</v>
      </c>
      <c r="F200" s="34" t="s">
        <v>126</v>
      </c>
      <c r="H200" s="35"/>
      <c r="I200" s="35"/>
    </row>
    <row r="201" spans="1:9">
      <c r="A201" s="34" t="s">
        <v>915</v>
      </c>
      <c r="B201" s="35">
        <v>8.0440928748825007E-4</v>
      </c>
      <c r="C201" s="34" t="s">
        <v>38</v>
      </c>
      <c r="D201" s="34" t="s">
        <v>901</v>
      </c>
      <c r="F201" s="34" t="s">
        <v>126</v>
      </c>
      <c r="H201" s="35"/>
      <c r="I201" s="35"/>
    </row>
    <row r="202" spans="1:9">
      <c r="A202" s="34" t="s">
        <v>414</v>
      </c>
      <c r="B202" s="35">
        <v>1.4845024469820555E-5</v>
      </c>
      <c r="C202" s="34" t="s">
        <v>38</v>
      </c>
      <c r="D202" s="34" t="s">
        <v>596</v>
      </c>
      <c r="F202" s="34" t="s">
        <v>126</v>
      </c>
      <c r="H202" s="35"/>
      <c r="I202" s="35"/>
    </row>
    <row r="203" spans="1:9">
      <c r="A203" s="34" t="s">
        <v>914</v>
      </c>
      <c r="B203" s="35">
        <v>6.361900127729115E-8</v>
      </c>
      <c r="C203" s="34" t="s">
        <v>38</v>
      </c>
      <c r="D203" s="34" t="s">
        <v>901</v>
      </c>
      <c r="F203" s="34" t="s">
        <v>126</v>
      </c>
      <c r="H203" s="35"/>
      <c r="I203" s="35"/>
    </row>
    <row r="204" spans="1:9">
      <c r="A204" s="34" t="s">
        <v>914</v>
      </c>
      <c r="B204" s="35">
        <v>1.0132139563159903E-5</v>
      </c>
      <c r="C204" s="34" t="s">
        <v>38</v>
      </c>
      <c r="D204" s="34" t="s">
        <v>127</v>
      </c>
      <c r="F204" s="34" t="s">
        <v>126</v>
      </c>
      <c r="H204" s="35"/>
      <c r="I204" s="35"/>
    </row>
    <row r="205" spans="1:9">
      <c r="A205" s="34" t="s">
        <v>913</v>
      </c>
      <c r="B205" s="35">
        <v>1.566068515497553E-8</v>
      </c>
      <c r="C205" s="34" t="s">
        <v>38</v>
      </c>
      <c r="D205" s="34" t="s">
        <v>596</v>
      </c>
      <c r="F205" s="34" t="s">
        <v>126</v>
      </c>
      <c r="H205" s="35"/>
      <c r="I205" s="35"/>
    </row>
    <row r="206" spans="1:9">
      <c r="A206" s="34" t="s">
        <v>912</v>
      </c>
      <c r="B206" s="35">
        <v>1.8156810799257381E-6</v>
      </c>
      <c r="C206" s="34" t="s">
        <v>38</v>
      </c>
      <c r="D206" s="34" t="s">
        <v>127</v>
      </c>
      <c r="F206" s="34" t="s">
        <v>126</v>
      </c>
      <c r="H206" s="35"/>
      <c r="I206" s="35"/>
    </row>
    <row r="207" spans="1:9">
      <c r="A207" s="34" t="s">
        <v>912</v>
      </c>
      <c r="B207" s="35">
        <v>6.8495102782255181E-8</v>
      </c>
      <c r="C207" s="34" t="s">
        <v>38</v>
      </c>
      <c r="D207" s="34" t="s">
        <v>901</v>
      </c>
      <c r="F207" s="34" t="s">
        <v>126</v>
      </c>
      <c r="H207" s="35"/>
      <c r="I207" s="35"/>
    </row>
    <row r="208" spans="1:9">
      <c r="A208" s="34" t="s">
        <v>911</v>
      </c>
      <c r="B208" s="35">
        <v>3.6903479644718653E-11</v>
      </c>
      <c r="C208" s="34" t="s">
        <v>38</v>
      </c>
      <c r="D208" s="34" t="s">
        <v>127</v>
      </c>
      <c r="F208" s="34" t="s">
        <v>126</v>
      </c>
      <c r="H208" s="35"/>
      <c r="I208" s="35"/>
    </row>
    <row r="209" spans="1:9">
      <c r="A209" s="34" t="s">
        <v>911</v>
      </c>
      <c r="B209" s="35">
        <v>1.275154613172401E-13</v>
      </c>
      <c r="C209" s="34" t="s">
        <v>38</v>
      </c>
      <c r="D209" s="34" t="s">
        <v>901</v>
      </c>
      <c r="F209" s="34" t="s">
        <v>126</v>
      </c>
      <c r="H209" s="35"/>
      <c r="I209" s="35"/>
    </row>
    <row r="210" spans="1:9">
      <c r="A210" s="34" t="s">
        <v>736</v>
      </c>
      <c r="B210" s="35">
        <v>6.2805872756933119E-4</v>
      </c>
      <c r="C210" s="34" t="s">
        <v>38</v>
      </c>
      <c r="D210" s="34" t="s">
        <v>127</v>
      </c>
      <c r="F210" s="34" t="s">
        <v>126</v>
      </c>
      <c r="H210" s="35"/>
      <c r="I210" s="35"/>
    </row>
    <row r="211" spans="1:9">
      <c r="A211" s="34" t="s">
        <v>910</v>
      </c>
      <c r="B211" s="35">
        <v>4.1906997349137401E-5</v>
      </c>
      <c r="C211" s="34" t="s">
        <v>38</v>
      </c>
      <c r="D211" s="34" t="s">
        <v>127</v>
      </c>
      <c r="F211" s="34" t="s">
        <v>126</v>
      </c>
      <c r="H211" s="35"/>
      <c r="I211" s="35"/>
    </row>
    <row r="212" spans="1:9">
      <c r="A212" s="34" t="s">
        <v>910</v>
      </c>
      <c r="B212" s="35">
        <v>5.0735827892132786E-7</v>
      </c>
      <c r="C212" s="34" t="s">
        <v>38</v>
      </c>
      <c r="D212" s="34" t="s">
        <v>901</v>
      </c>
      <c r="F212" s="34" t="s">
        <v>126</v>
      </c>
      <c r="H212" s="35"/>
      <c r="I212" s="35"/>
    </row>
    <row r="213" spans="1:9">
      <c r="A213" s="34" t="s">
        <v>513</v>
      </c>
      <c r="B213" s="35">
        <v>1.9168026101141925E-5</v>
      </c>
      <c r="C213" s="34" t="s">
        <v>38</v>
      </c>
      <c r="D213" s="34" t="s">
        <v>127</v>
      </c>
      <c r="F213" s="34" t="s">
        <v>126</v>
      </c>
      <c r="H213" s="35"/>
      <c r="I213" s="35"/>
    </row>
    <row r="214" spans="1:9">
      <c r="A214" s="34" t="s">
        <v>909</v>
      </c>
      <c r="B214" s="35">
        <v>1.3904058641384682E-5</v>
      </c>
      <c r="C214" s="34" t="s">
        <v>38</v>
      </c>
      <c r="D214" s="34" t="s">
        <v>127</v>
      </c>
      <c r="F214" s="34" t="s">
        <v>126</v>
      </c>
      <c r="H214" s="35"/>
      <c r="I214" s="35"/>
    </row>
    <row r="215" spans="1:9">
      <c r="A215" s="34" t="s">
        <v>909</v>
      </c>
      <c r="B215" s="35">
        <v>8.5939975992037473E-7</v>
      </c>
      <c r="C215" s="34" t="s">
        <v>38</v>
      </c>
      <c r="D215" s="34" t="s">
        <v>901</v>
      </c>
      <c r="F215" s="34" t="s">
        <v>126</v>
      </c>
      <c r="H215" s="35"/>
      <c r="I215" s="35"/>
    </row>
    <row r="216" spans="1:9">
      <c r="A216" s="34" t="s">
        <v>908</v>
      </c>
      <c r="B216" s="35">
        <v>1.8040586862796359E-5</v>
      </c>
      <c r="C216" s="34" t="s">
        <v>38</v>
      </c>
      <c r="D216" s="34" t="s">
        <v>127</v>
      </c>
      <c r="F216" s="34" t="s">
        <v>126</v>
      </c>
      <c r="H216" s="35"/>
      <c r="I216" s="35"/>
    </row>
    <row r="217" spans="1:9">
      <c r="A217" s="34" t="s">
        <v>908</v>
      </c>
      <c r="B217" s="35">
        <v>2.3021248467509493E-7</v>
      </c>
      <c r="C217" s="34" t="s">
        <v>38</v>
      </c>
      <c r="D217" s="34" t="s">
        <v>901</v>
      </c>
      <c r="F217" s="34" t="s">
        <v>126</v>
      </c>
      <c r="H217" s="35"/>
      <c r="I217" s="35"/>
    </row>
    <row r="218" spans="1:9">
      <c r="A218" s="34" t="s">
        <v>907</v>
      </c>
      <c r="B218" s="35">
        <v>6.334403156917815E-9</v>
      </c>
      <c r="C218" s="34" t="s">
        <v>38</v>
      </c>
      <c r="D218" s="34" t="s">
        <v>901</v>
      </c>
      <c r="F218" s="34" t="s">
        <v>126</v>
      </c>
      <c r="H218" s="35"/>
      <c r="I218" s="35"/>
    </row>
    <row r="219" spans="1:9">
      <c r="A219" s="34" t="s">
        <v>907</v>
      </c>
      <c r="B219" s="35">
        <v>5.7114469997794617E-6</v>
      </c>
      <c r="C219" s="34" t="s">
        <v>38</v>
      </c>
      <c r="D219" s="34" t="s">
        <v>127</v>
      </c>
      <c r="F219" s="34" t="s">
        <v>126</v>
      </c>
      <c r="H219" s="35"/>
      <c r="I219" s="35"/>
    </row>
    <row r="220" spans="1:9">
      <c r="A220" s="34" t="s">
        <v>424</v>
      </c>
      <c r="B220" s="35">
        <v>9.8311281204529851E-5</v>
      </c>
      <c r="C220" s="34" t="s">
        <v>38</v>
      </c>
      <c r="D220" s="34" t="s">
        <v>901</v>
      </c>
      <c r="F220" s="34" t="s">
        <v>126</v>
      </c>
      <c r="H220" s="35"/>
      <c r="I220" s="35"/>
    </row>
    <row r="221" spans="1:9">
      <c r="A221" s="34" t="s">
        <v>424</v>
      </c>
      <c r="B221" s="35">
        <v>1.3698779520744263E-3</v>
      </c>
      <c r="C221" s="34" t="s">
        <v>38</v>
      </c>
      <c r="D221" s="34" t="s">
        <v>127</v>
      </c>
      <c r="F221" s="34" t="s">
        <v>126</v>
      </c>
      <c r="H221" s="35"/>
      <c r="I221" s="35"/>
    </row>
    <row r="222" spans="1:9">
      <c r="A222" s="34" t="s">
        <v>906</v>
      </c>
      <c r="B222" s="35">
        <v>4.3980752575014565E-8</v>
      </c>
      <c r="C222" s="34" t="s">
        <v>38</v>
      </c>
      <c r="D222" s="34" t="s">
        <v>901</v>
      </c>
      <c r="F222" s="34" t="s">
        <v>126</v>
      </c>
      <c r="H222" s="35"/>
      <c r="I222" s="35"/>
    </row>
    <row r="223" spans="1:9">
      <c r="A223" s="34" t="s">
        <v>906</v>
      </c>
      <c r="B223" s="35">
        <v>2.6026068298779136E-7</v>
      </c>
      <c r="C223" s="34" t="s">
        <v>38</v>
      </c>
      <c r="D223" s="34" t="s">
        <v>127</v>
      </c>
      <c r="F223" s="34" t="s">
        <v>126</v>
      </c>
      <c r="H223" s="35"/>
      <c r="I223" s="35"/>
    </row>
    <row r="224" spans="1:9">
      <c r="A224" s="34" t="s">
        <v>905</v>
      </c>
      <c r="B224" s="35">
        <v>1.3692947115998329E-3</v>
      </c>
      <c r="C224" s="34" t="s">
        <v>38</v>
      </c>
      <c r="D224" s="34" t="s">
        <v>127</v>
      </c>
      <c r="F224" s="34" t="s">
        <v>126</v>
      </c>
      <c r="H224" s="35"/>
      <c r="I224" s="35"/>
    </row>
    <row r="225" spans="1:9">
      <c r="A225" s="34" t="s">
        <v>905</v>
      </c>
      <c r="B225" s="35">
        <v>1.7328453163625522E-5</v>
      </c>
      <c r="C225" s="34" t="s">
        <v>38</v>
      </c>
      <c r="D225" s="34" t="s">
        <v>901</v>
      </c>
      <c r="F225" s="34" t="s">
        <v>126</v>
      </c>
      <c r="H225" s="35"/>
      <c r="I225" s="35"/>
    </row>
    <row r="226" spans="1:9">
      <c r="A226" s="34" t="s">
        <v>904</v>
      </c>
      <c r="B226" s="35">
        <v>4.7189200559099822E-4</v>
      </c>
      <c r="C226" s="34" t="s">
        <v>38</v>
      </c>
      <c r="D226" s="34" t="s">
        <v>127</v>
      </c>
      <c r="F226" s="34" t="s">
        <v>126</v>
      </c>
      <c r="H226" s="35"/>
      <c r="I226" s="35"/>
    </row>
    <row r="227" spans="1:9">
      <c r="A227" s="34" t="s">
        <v>904</v>
      </c>
      <c r="B227" s="35">
        <v>6.0851559098174747E-6</v>
      </c>
      <c r="C227" s="34" t="s">
        <v>38</v>
      </c>
      <c r="D227" s="34" t="s">
        <v>901</v>
      </c>
      <c r="F227" s="34" t="s">
        <v>126</v>
      </c>
      <c r="H227" s="35"/>
      <c r="I227" s="35"/>
    </row>
    <row r="228" spans="1:9">
      <c r="A228" s="34" t="s">
        <v>125</v>
      </c>
      <c r="B228" s="35">
        <v>1.7306146281032646E-5</v>
      </c>
      <c r="C228" s="34" t="s">
        <v>38</v>
      </c>
      <c r="D228" s="34" t="s">
        <v>901</v>
      </c>
      <c r="F228" s="34" t="s">
        <v>126</v>
      </c>
      <c r="H228" s="35"/>
      <c r="I228" s="35"/>
    </row>
    <row r="229" spans="1:9">
      <c r="A229" s="34" t="s">
        <v>125</v>
      </c>
      <c r="B229" s="35">
        <v>1.369317018482426E-3</v>
      </c>
      <c r="C229" s="34" t="s">
        <v>38</v>
      </c>
      <c r="D229" s="34" t="s">
        <v>127</v>
      </c>
      <c r="F229" s="34" t="s">
        <v>126</v>
      </c>
      <c r="H229" s="35"/>
      <c r="I229" s="35"/>
    </row>
    <row r="230" spans="1:9">
      <c r="A230" s="34" t="s">
        <v>903</v>
      </c>
      <c r="B230" s="35">
        <v>1.8790058650402165E-7</v>
      </c>
      <c r="C230" s="34" t="s">
        <v>38</v>
      </c>
      <c r="D230" s="34" t="s">
        <v>127</v>
      </c>
      <c r="F230" s="34" t="s">
        <v>126</v>
      </c>
      <c r="H230" s="35"/>
      <c r="I230" s="35"/>
    </row>
    <row r="231" spans="1:9">
      <c r="A231" s="34" t="s">
        <v>903</v>
      </c>
      <c r="B231" s="35">
        <v>2.1483531370876351E-9</v>
      </c>
      <c r="C231" s="34" t="s">
        <v>38</v>
      </c>
      <c r="D231" s="34" t="s">
        <v>901</v>
      </c>
      <c r="F231" s="34" t="s">
        <v>126</v>
      </c>
      <c r="H231" s="35"/>
      <c r="I231" s="35"/>
    </row>
    <row r="232" spans="1:9">
      <c r="A232" s="34" t="s">
        <v>887</v>
      </c>
      <c r="B232" s="35">
        <v>6.2577188080919859E-4</v>
      </c>
      <c r="C232" s="34" t="s">
        <v>38</v>
      </c>
      <c r="D232" s="34" t="s">
        <v>127</v>
      </c>
      <c r="F232" s="34" t="s">
        <v>126</v>
      </c>
      <c r="H232" s="35"/>
      <c r="I232" s="35"/>
    </row>
    <row r="233" spans="1:9">
      <c r="A233" s="34" t="s">
        <v>887</v>
      </c>
      <c r="B233" s="35">
        <v>2.2868467601324959E-6</v>
      </c>
      <c r="C233" s="34" t="s">
        <v>38</v>
      </c>
      <c r="D233" s="34" t="s">
        <v>901</v>
      </c>
      <c r="F233" s="34" t="s">
        <v>126</v>
      </c>
      <c r="H233" s="35"/>
      <c r="I233" s="35"/>
    </row>
    <row r="234" spans="1:9">
      <c r="A234" s="34" t="s">
        <v>595</v>
      </c>
      <c r="B234" s="35">
        <v>1.9232809628718763E-4</v>
      </c>
      <c r="C234" s="34" t="s">
        <v>119</v>
      </c>
      <c r="D234" s="34" t="s">
        <v>901</v>
      </c>
      <c r="F234" s="34" t="s">
        <v>126</v>
      </c>
      <c r="H234" s="35"/>
      <c r="I234" s="35"/>
    </row>
    <row r="235" spans="1:9">
      <c r="A235" s="34" t="s">
        <v>595</v>
      </c>
      <c r="B235" s="35">
        <v>1.8760195758564437E-2</v>
      </c>
      <c r="C235" s="34" t="s">
        <v>119</v>
      </c>
      <c r="D235" s="34" t="s">
        <v>596</v>
      </c>
      <c r="F235" s="34" t="s">
        <v>126</v>
      </c>
      <c r="H235" s="35"/>
      <c r="I235" s="35"/>
    </row>
    <row r="236" spans="1:9">
      <c r="A236" s="34" t="s">
        <v>595</v>
      </c>
      <c r="B236" s="35">
        <v>2.3624963910238096E-2</v>
      </c>
      <c r="C236" s="34" t="s">
        <v>119</v>
      </c>
      <c r="D236" s="34" t="s">
        <v>127</v>
      </c>
      <c r="F236" s="34" t="s">
        <v>126</v>
      </c>
      <c r="H236" s="35"/>
      <c r="I236" s="35"/>
    </row>
    <row r="237" spans="1:9">
      <c r="A237" s="34" t="s">
        <v>597</v>
      </c>
      <c r="B237" s="35">
        <v>4.5072649796873438E-3</v>
      </c>
      <c r="C237" s="34" t="s">
        <v>119</v>
      </c>
      <c r="D237" s="34" t="s">
        <v>222</v>
      </c>
      <c r="F237" s="34" t="s">
        <v>126</v>
      </c>
      <c r="H237" s="35"/>
      <c r="I237" s="35"/>
    </row>
    <row r="238" spans="1:9">
      <c r="A238" s="34" t="s">
        <v>902</v>
      </c>
      <c r="B238" s="35">
        <v>4.5072649796873438E-3</v>
      </c>
      <c r="C238" s="34" t="s">
        <v>119</v>
      </c>
      <c r="D238" s="34" t="s">
        <v>180</v>
      </c>
      <c r="F238" s="34" t="s">
        <v>126</v>
      </c>
      <c r="H238" s="35"/>
      <c r="I238" s="35"/>
    </row>
    <row r="239" spans="1:9">
      <c r="A239" s="34" t="s">
        <v>900</v>
      </c>
      <c r="B239" s="35">
        <v>1.5797549550038205E-5</v>
      </c>
      <c r="C239" s="34" t="s">
        <v>38</v>
      </c>
      <c r="D239" s="34" t="s">
        <v>901</v>
      </c>
      <c r="F239" s="34" t="s">
        <v>126</v>
      </c>
      <c r="H239" s="35"/>
      <c r="I239" s="35"/>
    </row>
    <row r="240" spans="1:9">
      <c r="A240" s="34" t="s">
        <v>900</v>
      </c>
      <c r="B240" s="35">
        <v>1.709887473504512E-4</v>
      </c>
      <c r="C240" s="34" t="s">
        <v>38</v>
      </c>
      <c r="D240" s="34" t="s">
        <v>127</v>
      </c>
      <c r="F240" s="34" t="s">
        <v>126</v>
      </c>
      <c r="H240" s="35"/>
      <c r="I240" s="35"/>
    </row>
    <row r="242" spans="1:8">
      <c r="A242" s="36" t="s">
        <v>0</v>
      </c>
      <c r="B242" s="36" t="s">
        <v>718</v>
      </c>
    </row>
    <row r="243" spans="1:8">
      <c r="A243" s="34" t="s">
        <v>13</v>
      </c>
      <c r="B243" s="34" t="s">
        <v>899</v>
      </c>
    </row>
    <row r="244" spans="1:8">
      <c r="A244" s="34" t="s">
        <v>11</v>
      </c>
      <c r="B244" s="34" t="s">
        <v>636</v>
      </c>
    </row>
    <row r="245" spans="1:8">
      <c r="A245" s="34" t="s">
        <v>1</v>
      </c>
      <c r="B245" s="34" t="s">
        <v>622</v>
      </c>
    </row>
    <row r="246" spans="1:8">
      <c r="A246" s="34" t="s">
        <v>2</v>
      </c>
      <c r="B246" s="34">
        <v>1</v>
      </c>
    </row>
    <row r="247" spans="1:8">
      <c r="A247" s="34" t="s">
        <v>3</v>
      </c>
      <c r="B247" s="34" t="s">
        <v>719</v>
      </c>
    </row>
    <row r="248" spans="1:8">
      <c r="A248" s="34" t="s">
        <v>7</v>
      </c>
      <c r="B248" s="34" t="s">
        <v>38</v>
      </c>
    </row>
    <row r="249" spans="1:8">
      <c r="A249" s="36" t="s">
        <v>14</v>
      </c>
    </row>
    <row r="250" spans="1:8">
      <c r="A250" s="36" t="s">
        <v>15</v>
      </c>
      <c r="B250" s="36" t="s">
        <v>16</v>
      </c>
      <c r="C250" s="36" t="s">
        <v>7</v>
      </c>
      <c r="D250" s="36" t="s">
        <v>18</v>
      </c>
      <c r="E250" s="36" t="s">
        <v>1</v>
      </c>
      <c r="F250" s="36" t="s">
        <v>5</v>
      </c>
      <c r="G250" s="36" t="s">
        <v>3</v>
      </c>
      <c r="H250" s="36" t="s">
        <v>898</v>
      </c>
    </row>
    <row r="251" spans="1:8">
      <c r="A251" s="34" t="s">
        <v>718</v>
      </c>
      <c r="B251" s="34">
        <v>1</v>
      </c>
      <c r="C251" s="34" t="s">
        <v>38</v>
      </c>
      <c r="E251" s="34" t="s">
        <v>622</v>
      </c>
      <c r="F251" s="34" t="s">
        <v>24</v>
      </c>
      <c r="G251" s="34" t="s">
        <v>719</v>
      </c>
    </row>
    <row r="252" spans="1:8">
      <c r="A252" s="34" t="s">
        <v>897</v>
      </c>
      <c r="B252" s="35">
        <v>1.35</v>
      </c>
      <c r="C252" s="34" t="s">
        <v>38</v>
      </c>
      <c r="E252" s="34" t="s">
        <v>622</v>
      </c>
      <c r="F252" s="34" t="s">
        <v>26</v>
      </c>
      <c r="G252" s="34" t="s">
        <v>896</v>
      </c>
      <c r="H252" s="35"/>
    </row>
    <row r="253" spans="1:8">
      <c r="A253" s="34" t="s">
        <v>895</v>
      </c>
      <c r="B253" s="34">
        <v>0.31</v>
      </c>
      <c r="C253" s="34" t="s">
        <v>38</v>
      </c>
      <c r="E253" s="34" t="s">
        <v>51</v>
      </c>
      <c r="F253" s="34" t="s">
        <v>26</v>
      </c>
      <c r="G253" s="34" t="s">
        <v>894</v>
      </c>
    </row>
    <row r="254" spans="1:8">
      <c r="A254" s="34" t="s">
        <v>176</v>
      </c>
      <c r="B254" s="34">
        <v>0.46</v>
      </c>
      <c r="C254" s="34" t="s">
        <v>38</v>
      </c>
      <c r="E254" s="34" t="s">
        <v>51</v>
      </c>
      <c r="F254" s="34" t="s">
        <v>26</v>
      </c>
      <c r="G254" s="34" t="s">
        <v>177</v>
      </c>
    </row>
    <row r="255" spans="1:8">
      <c r="A255" s="34" t="s">
        <v>893</v>
      </c>
      <c r="B255" s="34">
        <v>0.5</v>
      </c>
      <c r="C255" s="34" t="s">
        <v>38</v>
      </c>
      <c r="E255" s="34" t="s">
        <v>51</v>
      </c>
      <c r="F255" s="34" t="s">
        <v>26</v>
      </c>
      <c r="G255" s="34" t="s">
        <v>892</v>
      </c>
    </row>
    <row r="256" spans="1:8">
      <c r="A256" s="34" t="s">
        <v>647</v>
      </c>
      <c r="B256" s="34">
        <v>0.37</v>
      </c>
      <c r="C256" s="34" t="s">
        <v>38</v>
      </c>
      <c r="E256" s="34" t="s">
        <v>34</v>
      </c>
      <c r="F256" s="34" t="s">
        <v>26</v>
      </c>
      <c r="G256" s="34" t="s">
        <v>648</v>
      </c>
    </row>
    <row r="257" spans="1:7">
      <c r="A257" s="34" t="s">
        <v>173</v>
      </c>
      <c r="B257" s="34">
        <v>3.16</v>
      </c>
      <c r="C257" s="34" t="s">
        <v>38</v>
      </c>
      <c r="E257" s="34" t="s">
        <v>51</v>
      </c>
      <c r="F257" s="34" t="s">
        <v>26</v>
      </c>
      <c r="G257" s="34" t="s">
        <v>174</v>
      </c>
    </row>
    <row r="258" spans="1:7">
      <c r="A258" s="34" t="s">
        <v>365</v>
      </c>
      <c r="B258" s="34">
        <v>0.2</v>
      </c>
      <c r="C258" s="34" t="s">
        <v>8</v>
      </c>
      <c r="E258" s="34" t="s">
        <v>622</v>
      </c>
      <c r="F258" s="34" t="s">
        <v>26</v>
      </c>
      <c r="G258" s="34" t="s">
        <v>366</v>
      </c>
    </row>
    <row r="259" spans="1:7">
      <c r="A259" s="34" t="s">
        <v>651</v>
      </c>
      <c r="B259" s="34">
        <v>0.93</v>
      </c>
      <c r="C259" s="34" t="s">
        <v>33</v>
      </c>
      <c r="E259" s="34" t="s">
        <v>51</v>
      </c>
      <c r="F259" s="34" t="s">
        <v>26</v>
      </c>
      <c r="G259" s="34" t="s">
        <v>493</v>
      </c>
    </row>
    <row r="260" spans="1:7">
      <c r="A260" s="34" t="s">
        <v>1261</v>
      </c>
      <c r="B260" s="35">
        <v>7.7100000000000002E-2</v>
      </c>
      <c r="C260" s="34" t="s">
        <v>35</v>
      </c>
      <c r="E260" s="34" t="s">
        <v>34</v>
      </c>
      <c r="F260" s="34" t="s">
        <v>26</v>
      </c>
      <c r="G260" s="61" t="s">
        <v>1260</v>
      </c>
    </row>
    <row r="261" spans="1:7">
      <c r="A261" s="61" t="s">
        <v>1262</v>
      </c>
      <c r="B261" s="34">
        <v>0.46</v>
      </c>
      <c r="C261" s="34" t="s">
        <v>35</v>
      </c>
      <c r="E261" s="34" t="s">
        <v>34</v>
      </c>
      <c r="F261" s="34" t="s">
        <v>26</v>
      </c>
      <c r="G261" s="61" t="s">
        <v>1254</v>
      </c>
    </row>
    <row r="262" spans="1:7">
      <c r="A262" s="34" t="s">
        <v>891</v>
      </c>
      <c r="B262" s="34">
        <v>-0.47</v>
      </c>
      <c r="C262" s="34" t="s">
        <v>38</v>
      </c>
      <c r="E262" s="34" t="s">
        <v>34</v>
      </c>
      <c r="F262" s="34" t="s">
        <v>26</v>
      </c>
      <c r="G262" s="34" t="s">
        <v>890</v>
      </c>
    </row>
    <row r="263" spans="1:7">
      <c r="A263" s="34" t="s">
        <v>841</v>
      </c>
      <c r="B263" s="35">
        <v>-6.5000000000000002E-2</v>
      </c>
      <c r="C263" s="34" t="s">
        <v>38</v>
      </c>
      <c r="E263" s="34" t="s">
        <v>34</v>
      </c>
      <c r="F263" s="34" t="s">
        <v>26</v>
      </c>
      <c r="G263" s="34" t="s">
        <v>842</v>
      </c>
    </row>
    <row r="264" spans="1:7">
      <c r="A264" s="34" t="s">
        <v>889</v>
      </c>
      <c r="B264" s="35">
        <v>-6.3200000000000006E-2</v>
      </c>
      <c r="C264" s="34" t="s">
        <v>38</v>
      </c>
      <c r="E264" s="34" t="s">
        <v>51</v>
      </c>
      <c r="F264" s="34" t="s">
        <v>26</v>
      </c>
      <c r="G264" s="34" t="s">
        <v>888</v>
      </c>
    </row>
    <row r="265" spans="1:7">
      <c r="A265" s="34" t="s">
        <v>175</v>
      </c>
      <c r="B265" s="35">
        <v>5.6399999999999999E-2</v>
      </c>
      <c r="C265" s="34" t="s">
        <v>38</v>
      </c>
      <c r="D265" s="34" t="s">
        <v>127</v>
      </c>
      <c r="F265" s="34" t="s">
        <v>126</v>
      </c>
    </row>
    <row r="266" spans="1:7">
      <c r="A266" s="34" t="s">
        <v>887</v>
      </c>
      <c r="B266" s="35">
        <f>(0.0000520580602692922/(0.0000520580602692922+1.90243138300923E-07)) * 0.000077</f>
        <v>7.671963258720775E-5</v>
      </c>
      <c r="C266" s="34" t="s">
        <v>38</v>
      </c>
      <c r="D266" s="34" t="s">
        <v>127</v>
      </c>
      <c r="F266" s="34" t="s">
        <v>126</v>
      </c>
    </row>
    <row r="267" spans="1:7">
      <c r="A267" s="34" t="s">
        <v>621</v>
      </c>
      <c r="B267" s="35">
        <v>0.16</v>
      </c>
      <c r="C267" s="34" t="s">
        <v>38</v>
      </c>
      <c r="D267" s="34" t="s">
        <v>127</v>
      </c>
      <c r="F267" s="34" t="s">
        <v>126</v>
      </c>
    </row>
    <row r="268" spans="1:7">
      <c r="A268" s="34" t="s">
        <v>595</v>
      </c>
      <c r="B268" s="35">
        <v>8.4499999999999994E-5</v>
      </c>
      <c r="C268" s="34" t="s">
        <v>119</v>
      </c>
      <c r="D268" s="34" t="s">
        <v>127</v>
      </c>
      <c r="F268" s="34" t="s">
        <v>126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FC53-7D4B-4CE9-B534-0C3CEC2F2831}">
  <dimension ref="A1:G5"/>
  <sheetViews>
    <sheetView tabSelected="1" workbookViewId="0">
      <selection activeCell="F10" sqref="F10"/>
    </sheetView>
  </sheetViews>
  <sheetFormatPr defaultColWidth="7.83203125" defaultRowHeight="14.5"/>
  <cols>
    <col min="1" max="1" width="27.83203125" style="34" bestFit="1" customWidth="1"/>
    <col min="2" max="2" width="7.83203125" style="34"/>
    <col min="3" max="3" width="12" style="34" bestFit="1" customWidth="1"/>
    <col min="4" max="4" width="9.83203125" style="34" bestFit="1" customWidth="1"/>
    <col min="5" max="5" width="9" style="34" bestFit="1" customWidth="1"/>
    <col min="6" max="16384" width="7.83203125" style="34"/>
  </cols>
  <sheetData>
    <row r="1" spans="1:7">
      <c r="A1" s="36" t="s">
        <v>1000</v>
      </c>
      <c r="B1" s="36" t="s">
        <v>999</v>
      </c>
      <c r="C1" s="36" t="s">
        <v>998</v>
      </c>
      <c r="D1" s="36" t="s">
        <v>997</v>
      </c>
      <c r="E1" s="36" t="s">
        <v>996</v>
      </c>
    </row>
    <row r="2" spans="1:7" ht="15.5">
      <c r="A2" s="34" t="s">
        <v>995</v>
      </c>
      <c r="B2" s="34">
        <f>1.53*0.022</f>
        <v>3.3659999999999995E-2</v>
      </c>
      <c r="C2" s="34">
        <v>9.6199999999999992</v>
      </c>
      <c r="D2" s="34">
        <f>B2*C2</f>
        <v>0.32380919999999991</v>
      </c>
      <c r="E2" s="34">
        <f>D2/SUM($D$2:$D$4)</f>
        <v>0.6621982682588029</v>
      </c>
      <c r="G2" s="38">
        <f>E2+E3</f>
        <v>0.76740406381698656</v>
      </c>
    </row>
    <row r="3" spans="1:7" ht="15.5">
      <c r="A3" s="34" t="s">
        <v>994</v>
      </c>
      <c r="B3" s="39">
        <f>1.53*0.72</f>
        <v>1.1015999999999999</v>
      </c>
      <c r="C3" s="34">
        <v>4.6699999999999998E-2</v>
      </c>
      <c r="D3" s="34">
        <f>B3*C3</f>
        <v>5.1444719999999992E-2</v>
      </c>
      <c r="E3" s="34">
        <f>D3/SUM($D$2:$D$4)</f>
        <v>0.10520579555818367</v>
      </c>
      <c r="G3" s="38"/>
    </row>
    <row r="4" spans="1:7" ht="15.5">
      <c r="A4" s="34" t="s">
        <v>993</v>
      </c>
      <c r="B4" s="34">
        <f>0.46*0.54</f>
        <v>0.24840000000000004</v>
      </c>
      <c r="C4" s="34">
        <v>0.45788000000000001</v>
      </c>
      <c r="D4" s="34">
        <f>B4*C4</f>
        <v>0.11373739200000002</v>
      </c>
      <c r="E4" s="34">
        <f>D4/SUM($D$2:$D$4)</f>
        <v>0.2325959361830135</v>
      </c>
      <c r="G4" s="38">
        <f>E4</f>
        <v>0.2325959361830135</v>
      </c>
    </row>
    <row r="5" spans="1:7" ht="15.5">
      <c r="B5" s="34">
        <f>SUM(B2:B4)</f>
        <v>1.3836599999999999</v>
      </c>
      <c r="G5"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Wave</vt:lpstr>
      <vt:lpstr>pumped storage</vt:lpstr>
      <vt:lpstr>Stationary Storage</vt:lpstr>
      <vt:lpstr>H2_Production</vt:lpstr>
      <vt:lpstr>H2_coproduction</vt:lpstr>
      <vt:lpstr>Vanadium Storage</vt:lpstr>
      <vt:lpstr>EPR</vt:lpstr>
      <vt:lpstr>SMR</vt:lpstr>
      <vt:lpstr>vanadium</vt:lpstr>
      <vt:lpstr>Allocation titanium-vanadium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DEZERT Francois-Xavier</cp:lastModifiedBy>
  <dcterms:created xsi:type="dcterms:W3CDTF">2023-01-09T14:38:47Z</dcterms:created>
  <dcterms:modified xsi:type="dcterms:W3CDTF">2026-02-06T15:15:07Z</dcterms:modified>
</cp:coreProperties>
</file>